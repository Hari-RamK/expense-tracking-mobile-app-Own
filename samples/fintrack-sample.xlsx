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ey Map" sheetId="2" state="visible" r:id="rId2"/>
    <sheet name="Cards &amp; Dues" sheetId="3" state="visible" r:id="rId3"/>
    <sheet name="People &amp; Lent" sheetId="4" state="visible" r:id="rId4"/>
    <sheet name="Regular &amp; EMI" sheetId="5" state="visible" r:id="rId5"/>
    <sheet name="Ledger" sheetId="6" state="visible" r:id="rId6"/>
    <sheet name="Review" sheetId="7" state="visible" r:id="rId7"/>
    <sheet name="About" sheetId="8" state="visible" r:id="rId8"/>
  </sheets>
  <definedNames>
    <definedName name="_xlnm._FilterDatabase" localSheetId="5" hidden="1">'Ledger'!$A$1:$N$40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[&gt;=10000000]&quot;₹&quot;##\,##\,##\,##0.00;[&gt;=100000]&quot;₹&quot;##\,##\,##0.00;&quot;₹&quot;##,##0.00"/>
    <numFmt numFmtId="167" formatCode="[&gt;=10000000]&quot;₹&quot;##\,##\,##\,##0;[&gt;=100000]&quot;₹&quot;##\,##\,##0;&quot;₹&quot;##,##0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1F2A44"/>
      <sz val="10"/>
    </font>
    <font>
      <name val="Arial"/>
      <b val="1"/>
      <color rgb="000000FF"/>
      <sz val="10"/>
    </font>
    <font>
      <name val="Arial"/>
      <color rgb="0064748B"/>
      <sz val="9"/>
    </font>
    <font>
      <name val="Arial"/>
      <color rgb="001F2A44"/>
      <sz val="10"/>
    </font>
    <font>
      <name val="Arial"/>
      <b val="1"/>
      <color rgb="00B91C1C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i val="1"/>
      <color rgb="0064748B"/>
      <sz val="9"/>
    </font>
    <font>
      <name val="Arial"/>
      <b val="1"/>
      <color rgb="001F2A44"/>
      <sz val="9"/>
    </font>
    <font>
      <name val="Arial"/>
      <b val="1"/>
      <color rgb="001F2A44"/>
      <sz val="11"/>
    </font>
    <font>
      <name val="Arial"/>
      <color rgb="000F766E"/>
      <sz val="10"/>
    </font>
    <font>
      <name val="Arial"/>
      <color rgb="00B45309"/>
      <sz val="10"/>
    </font>
    <font>
      <name val="Arial"/>
      <b val="1"/>
      <color rgb="00B45309"/>
      <sz val="10"/>
    </font>
    <font>
      <name val="Arial"/>
      <b val="1"/>
      <color rgb="0064748B"/>
      <sz val="10"/>
    </font>
    <font>
      <name val="Arial"/>
      <b val="1"/>
      <color rgb="0064748B"/>
      <sz val="9"/>
    </font>
    <font>
      <name val="Arial"/>
      <b val="1"/>
      <color rgb="000F766E"/>
      <sz val="8"/>
    </font>
    <font>
      <name val="Arial"/>
      <b val="1"/>
      <color rgb="000F766E"/>
      <sz val="18"/>
    </font>
    <font>
      <name val="Arial"/>
      <b val="1"/>
      <color rgb="001F2A44"/>
      <sz val="8"/>
    </font>
    <font>
      <name val="Arial"/>
      <b val="1"/>
      <color rgb="001F2A44"/>
      <sz val="18"/>
    </font>
    <font>
      <name val="Arial"/>
      <b val="1"/>
      <color rgb="0015803D"/>
      <sz val="8"/>
    </font>
    <font>
      <name val="Arial"/>
      <b val="1"/>
      <color rgb="0015803D"/>
      <sz val="18"/>
    </font>
    <font>
      <name val="Arial"/>
      <b val="1"/>
      <color rgb="00B45309"/>
      <sz val="8"/>
    </font>
    <font>
      <name val="Arial"/>
      <b val="1"/>
      <color rgb="00B45309"/>
      <sz val="18"/>
    </font>
    <font>
      <name val="Arial"/>
      <b val="1"/>
      <color rgb="00B91C1C"/>
      <sz val="8"/>
    </font>
    <font>
      <name val="Arial"/>
      <b val="1"/>
      <color rgb="00B91C1C"/>
      <sz val="18"/>
    </font>
    <font>
      <name val="Arial"/>
      <b val="1"/>
      <color rgb="001F2A44"/>
      <sz val="12"/>
    </font>
    <font>
      <name val="Arial"/>
      <color rgb="0064748B"/>
      <sz val="10"/>
    </font>
    <font>
      <name val="Arial"/>
      <i val="1"/>
      <color rgb="0064748B"/>
      <sz val="8"/>
    </font>
    <font>
      <name val="Arial"/>
      <b val="1"/>
      <color rgb="0064748B"/>
      <sz val="8"/>
    </font>
    <font>
      <name val="Arial"/>
      <b val="1"/>
      <color rgb="000F766E"/>
      <sz val="11"/>
    </font>
    <font>
      <name val="Arial"/>
      <b val="1"/>
      <color rgb="0015803D"/>
      <sz val="10"/>
    </font>
  </fonts>
  <fills count="13">
    <fill>
      <patternFill/>
    </fill>
    <fill>
      <patternFill patternType="gray125"/>
    </fill>
    <fill>
      <patternFill patternType="solid">
        <fgColor rgb="0064748B"/>
        <bgColor rgb="0064748B"/>
      </patternFill>
    </fill>
    <fill>
      <patternFill patternType="solid">
        <fgColor rgb="00FEF3C7"/>
        <bgColor rgb="00FEF3C7"/>
      </patternFill>
    </fill>
    <fill>
      <patternFill patternType="solid">
        <fgColor rgb="001F2A44"/>
        <bgColor rgb="001F2A44"/>
      </patternFill>
    </fill>
    <fill>
      <patternFill patternType="solid">
        <fgColor rgb="00B45309"/>
        <bgColor rgb="00B45309"/>
      </patternFill>
    </fill>
    <fill>
      <patternFill patternType="solid">
        <fgColor rgb="00B91C1C"/>
        <bgColor rgb="00B91C1C"/>
      </patternFill>
    </fill>
    <fill>
      <patternFill patternType="solid">
        <fgColor rgb="000F766E"/>
        <bgColor rgb="000F766E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4" borderId="0" applyAlignment="1" pivotButton="0" quotePrefix="0" xfId="0">
      <alignment vertical="center" indent="1"/>
    </xf>
    <xf numFmtId="0" fontId="0" fillId="4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left"/>
    </xf>
    <xf numFmtId="0" fontId="17" fillId="9" borderId="0" applyAlignment="1" pivotButton="0" quotePrefix="0" xfId="0">
      <alignment vertical="bottom" indent="1"/>
    </xf>
    <xf numFmtId="0" fontId="0" fillId="9" borderId="0" pivotButton="0" quotePrefix="0" xfId="0"/>
    <xf numFmtId="0" fontId="19" fillId="10" borderId="0" applyAlignment="1" pivotButton="0" quotePrefix="0" xfId="0">
      <alignment vertical="bottom" indent="1"/>
    </xf>
    <xf numFmtId="0" fontId="0" fillId="10" borderId="0" pivotButton="0" quotePrefix="0" xfId="0"/>
    <xf numFmtId="0" fontId="21" fillId="11" borderId="0" applyAlignment="1" pivotButton="0" quotePrefix="0" xfId="0">
      <alignment vertical="bottom" indent="1"/>
    </xf>
    <xf numFmtId="0" fontId="0" fillId="11" borderId="0" pivotButton="0" quotePrefix="0" xfId="0"/>
    <xf numFmtId="0" fontId="23" fillId="3" borderId="0" applyAlignment="1" pivotButton="0" quotePrefix="0" xfId="0">
      <alignment vertical="bottom" indent="1"/>
    </xf>
    <xf numFmtId="0" fontId="0" fillId="3" borderId="0" pivotButton="0" quotePrefix="0" xfId="0"/>
    <xf numFmtId="0" fontId="25" fillId="12" borderId="0" applyAlignment="1" pivotButton="0" quotePrefix="0" xfId="0">
      <alignment vertical="bottom" indent="1"/>
    </xf>
    <xf numFmtId="0" fontId="0" fillId="12" borderId="0" pivotButton="0" quotePrefix="0" xfId="0"/>
    <xf numFmtId="167" fontId="18" fillId="9" borderId="0" applyAlignment="1" pivotButton="0" quotePrefix="0" xfId="0">
      <alignment vertical="center" indent="1"/>
    </xf>
    <xf numFmtId="167" fontId="20" fillId="10" borderId="0" applyAlignment="1" pivotButton="0" quotePrefix="0" xfId="0">
      <alignment vertical="center" indent="1"/>
    </xf>
    <xf numFmtId="167" fontId="22" fillId="11" borderId="0" applyAlignment="1" pivotButton="0" quotePrefix="0" xfId="0">
      <alignment vertical="center" indent="1"/>
    </xf>
    <xf numFmtId="167" fontId="24" fillId="3" borderId="0" applyAlignment="1" pivotButton="0" quotePrefix="0" xfId="0">
      <alignment vertical="center" indent="1"/>
    </xf>
    <xf numFmtId="167" fontId="26" fillId="12" borderId="0" applyAlignment="1" pivotButton="0" quotePrefix="0" xfId="0">
      <alignment vertical="center" indent="1"/>
    </xf>
    <xf numFmtId="0" fontId="4" fillId="9" borderId="0" applyAlignment="1" pivotButton="0" quotePrefix="0" xfId="0">
      <alignment vertical="top" indent="1"/>
    </xf>
    <xf numFmtId="0" fontId="4" fillId="10" borderId="0" applyAlignment="1" pivotButton="0" quotePrefix="0" xfId="0">
      <alignment vertical="top" indent="1"/>
    </xf>
    <xf numFmtId="0" fontId="4" fillId="11" borderId="0" applyAlignment="1" pivotButton="0" quotePrefix="0" xfId="0">
      <alignment vertical="top" indent="1"/>
    </xf>
    <xf numFmtId="0" fontId="4" fillId="3" borderId="0" applyAlignment="1" pivotButton="0" quotePrefix="0" xfId="0">
      <alignment vertical="top" indent="1"/>
    </xf>
    <xf numFmtId="0" fontId="4" fillId="12" borderId="0" applyAlignment="1" pivotButton="0" quotePrefix="0" xfId="0">
      <alignment vertical="top" indent="1"/>
    </xf>
    <xf numFmtId="0" fontId="27" fillId="0" borderId="0" pivotButton="0" quotePrefix="0" xfId="0"/>
    <xf numFmtId="0" fontId="7" fillId="4" borderId="0" applyAlignment="1" pivotButton="0" quotePrefix="0" xfId="0">
      <alignment horizontal="left" vertical="center" wrapText="1"/>
    </xf>
    <xf numFmtId="0" fontId="7" fillId="4" borderId="0" pivotButton="0" quotePrefix="0" xfId="0"/>
    <xf numFmtId="0" fontId="5" fillId="4" borderId="0" pivotButton="0" quotePrefix="0" xfId="0"/>
    <xf numFmtId="0" fontId="2" fillId="0" borderId="1" pivotButton="0" quotePrefix="0" xfId="0"/>
    <xf numFmtId="167" fontId="5" fillId="0" borderId="1" pivotButton="0" quotePrefix="0" xfId="0"/>
    <xf numFmtId="9" fontId="5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left"/>
    </xf>
    <xf numFmtId="0" fontId="12" fillId="0" borderId="1" pivotButton="0" quotePrefix="0" xfId="0"/>
    <xf numFmtId="0" fontId="28" fillId="0" borderId="1" pivotButton="0" quotePrefix="0" xfId="0"/>
    <xf numFmtId="0" fontId="13" fillId="0" borderId="1" pivotButton="0" quotePrefix="0" xfId="0"/>
    <xf numFmtId="0" fontId="2" fillId="8" borderId="0" pivotButton="0" quotePrefix="0" xfId="0"/>
    <xf numFmtId="167" fontId="2" fillId="8" borderId="0" pivotButton="0" quotePrefix="0" xfId="0"/>
    <xf numFmtId="9" fontId="2" fillId="8" borderId="0" pivotButton="0" quotePrefix="0" xfId="0"/>
    <xf numFmtId="0" fontId="0" fillId="8" borderId="0" pivotButton="0" quotePrefix="0" xfId="0"/>
    <xf numFmtId="0" fontId="29" fillId="0" borderId="0" pivotButton="0" quotePrefix="0" xfId="0"/>
    <xf numFmtId="0" fontId="21" fillId="0" borderId="0" pivotButton="0" quotePrefix="0" xfId="0"/>
    <xf numFmtId="0" fontId="30" fillId="0" borderId="0" pivotButton="0" quotePrefix="0" xfId="0"/>
    <xf numFmtId="0" fontId="2" fillId="0" borderId="0" pivotButton="0" quotePrefix="0" xfId="0"/>
    <xf numFmtId="167" fontId="31" fillId="0" borderId="0" pivotButton="0" quotePrefix="0" xfId="0"/>
    <xf numFmtId="0" fontId="4" fillId="0" borderId="0" pivotButton="0" quotePrefix="0" xfId="0"/>
    <xf numFmtId="0" fontId="14" fillId="0" borderId="0" pivotButton="0" quotePrefix="0" xfId="0"/>
    <xf numFmtId="0" fontId="5" fillId="0" borderId="0" pivotButton="0" quotePrefix="0" xfId="0"/>
    <xf numFmtId="0" fontId="32" fillId="0" borderId="0" pivotButton="0" quotePrefix="0" xfId="0"/>
    <xf numFmtId="0" fontId="1" fillId="7" borderId="0" applyAlignment="1" pivotButton="0" quotePrefix="0" xfId="0">
      <alignment vertical="center" indent="1"/>
    </xf>
    <xf numFmtId="0" fontId="0" fillId="7" borderId="0" pivotButton="0" quotePrefix="0" xfId="0"/>
    <xf numFmtId="0" fontId="7" fillId="7" borderId="0" applyAlignment="1" pivotButton="0" quotePrefix="0" xfId="0">
      <alignment horizontal="left" vertical="center" wrapText="1"/>
    </xf>
    <xf numFmtId="166" fontId="2" fillId="0" borderId="1" pivotButton="0" quotePrefix="0" xfId="0"/>
    <xf numFmtId="166" fontId="5" fillId="0" borderId="1" pivotButton="0" quotePrefix="0" xfId="0"/>
    <xf numFmtId="166" fontId="2" fillId="8" borderId="0" pivotButton="0" quotePrefix="0" xfId="0"/>
    <xf numFmtId="0" fontId="9" fillId="0" borderId="0" pivotButton="0" quotePrefix="0" xfId="0"/>
    <xf numFmtId="166" fontId="14" fillId="0" borderId="0" pivotButton="0" quotePrefix="0" xfId="0"/>
    <xf numFmtId="0" fontId="1" fillId="6" borderId="0" applyAlignment="1" pivotButton="0" quotePrefix="0" xfId="0">
      <alignment vertical="center" indent="1"/>
    </xf>
    <xf numFmtId="0" fontId="0" fillId="6" borderId="0" pivotButton="0" quotePrefix="0" xfId="0"/>
    <xf numFmtId="0" fontId="7" fillId="6" borderId="0" applyAlignment="1" pivotButton="0" quotePrefix="0" xfId="0">
      <alignment horizontal="left" vertical="center" wrapText="1"/>
    </xf>
    <xf numFmtId="166" fontId="8" fillId="0" borderId="1" pivotButton="0" quotePrefix="0" xfId="0"/>
    <xf numFmtId="165" fontId="8" fillId="0" borderId="1" pivotButton="0" quotePrefix="0" xfId="0"/>
    <xf numFmtId="1" fontId="5" fillId="0" borderId="1" pivotButton="0" quotePrefix="0" xfId="0"/>
    <xf numFmtId="0" fontId="4" fillId="0" borderId="1" pivotButton="0" quotePrefix="0" xfId="0"/>
    <xf numFmtId="166" fontId="11" fillId="0" borderId="0" pivotButton="0" quotePrefix="0" xfId="0"/>
    <xf numFmtId="0" fontId="1" fillId="5" borderId="0" applyAlignment="1" pivotButton="0" quotePrefix="0" xfId="0">
      <alignment vertical="center" indent="1"/>
    </xf>
    <xf numFmtId="0" fontId="0" fillId="5" borderId="0" pivotButton="0" quotePrefix="0" xfId="0"/>
    <xf numFmtId="0" fontId="10" fillId="0" borderId="0" pivotButton="0" quotePrefix="0" xfId="0"/>
    <xf numFmtId="167" fontId="3" fillId="3" borderId="0" pivotButton="0" quotePrefix="0" xfId="0"/>
    <xf numFmtId="0" fontId="7" fillId="5" borderId="0" applyAlignment="1" pivotButton="0" quotePrefix="0" xfId="0">
      <alignment horizontal="left" vertical="center" wrapText="1"/>
    </xf>
    <xf numFmtId="165" fontId="5" fillId="0" borderId="1" pivotButton="0" quotePrefix="0" xfId="0"/>
    <xf numFmtId="0" fontId="3" fillId="0" borderId="1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 wrapText="1"/>
    </xf>
    <xf numFmtId="165" fontId="3" fillId="3" borderId="0" pivotButton="0" quotePrefix="0" xfId="0"/>
    <xf numFmtId="165" fontId="5" fillId="0" borderId="0" pivotButton="0" quotePrefix="0" xfId="0"/>
    <xf numFmtId="0" fontId="6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Arial"/>
        <b val="1"/>
        <color rgb="00B91C1C"/>
        <sz val="18"/>
      </font>
    </dxf>
    <dxf>
      <font>
        <name val="Arial"/>
        <b val="1"/>
        <color rgb="00B91C1C"/>
        <sz val="8"/>
      </font>
    </dxf>
    <dxf>
      <font>
        <name val="Arial"/>
        <b val="1"/>
        <color rgb="00B91C1C"/>
      </font>
    </dxf>
    <dxf>
      <font>
        <name val="Arial"/>
        <b val="1"/>
        <color rgb="00FFFFFF"/>
      </font>
      <fill>
        <patternFill patternType="solid">
          <fgColor rgb="00B91C1C"/>
          <bgColor rgb="00B91C1C"/>
        </patternFill>
      </fill>
    </dxf>
    <dxf>
      <font>
        <name val="Arial"/>
        <b val="1"/>
        <color rgb="00B91C1C"/>
      </font>
      <fill>
        <patternFill patternType="solid">
          <fgColor rgb="00FEE2E2"/>
          <bgColor rgb="00FEE2E2"/>
        </patternFill>
      </fill>
    </dxf>
    <dxf>
      <font>
        <name val="Arial"/>
        <b val="1"/>
        <color rgb="00B45309"/>
      </font>
      <fill>
        <patternFill patternType="solid">
          <fgColor rgb="00FEF3C7"/>
          <bgColor rgb="00FEF3C7"/>
        </patternFill>
      </fill>
    </dxf>
    <dxf>
      <font>
        <name val="Arial"/>
        <b val="1"/>
        <color rgb="0015803D"/>
      </font>
      <fill>
        <patternFill patternType="solid">
          <fgColor rgb="00DCFCE7"/>
          <bgColor rgb="00DCFCE7"/>
        </patternFill>
      </fill>
    </dxf>
    <dxf>
      <font>
        <name val="Arial"/>
        <b val="1"/>
        <color rgb="0064748B"/>
      </font>
      <fill>
        <patternFill patternType="solid">
          <fgColor rgb="00F1F5F9"/>
          <b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B1:M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" customWidth="1" min="14" max="14"/>
  </cols>
  <sheetData>
    <row r="1">
      <c r="B1" s="1" t="inlineStr">
        <is>
          <t>Money Report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B3" s="3">
        <f>TEXT(About!C4,"mmmm yyyy")&amp;"  ·  SAMPLE DATA, all names and amounts are fake"</f>
        <v/>
      </c>
      <c r="K3" s="4" t="inlineStr">
        <is>
          <t>As of</t>
        </is>
      </c>
      <c r="L3" s="5">
        <f>About!$C$4</f>
        <v/>
      </c>
    </row>
    <row r="5" ht="20" customHeight="1">
      <c r="B5" s="6" t="inlineStr">
        <is>
          <t>INCOME</t>
        </is>
      </c>
      <c r="C5" s="7" t="n"/>
      <c r="D5" s="8" t="inlineStr">
        <is>
          <t>TOTAL SPENT</t>
        </is>
      </c>
      <c r="E5" s="9" t="n"/>
      <c r="F5" s="10" t="inlineStr">
        <is>
          <t>NET CASH FLOW</t>
        </is>
      </c>
      <c r="G5" s="11" t="n"/>
      <c r="H5" s="12" t="inlineStr">
        <is>
          <t>LENT OUTSTANDING</t>
        </is>
      </c>
      <c r="I5" s="13" t="n"/>
      <c r="J5" s="14" t="inlineStr">
        <is>
          <t>CARD DUES ≤ 7 DAYS</t>
        </is>
      </c>
      <c r="K5" s="15" t="n"/>
      <c r="L5" s="12" t="inlineStr">
        <is>
          <t>AWAITING YOU</t>
        </is>
      </c>
      <c r="M5" s="13" t="n"/>
    </row>
    <row r="6" ht="34" customHeight="1">
      <c r="B6" s="16">
        <f>SUMIFS(Ledger!$F$2:$F$200,Ledger!$H$2:$H$200,"Income",Ledger!$B$2:$B$200,"&gt;="&amp;About!$C$5,Ledger!$B$2:$B$200,"&lt;="&amp;About!$C$6)</f>
        <v/>
      </c>
      <c r="C6" s="7" t="n"/>
      <c r="D6" s="17">
        <f>SUMIFS(Ledger!$N$2:$N$200,Ledger!$B$2:$B$200,"&gt;="&amp;About!$C$5,Ledger!$B$2:$B$200,"&lt;="&amp;About!$C$6)</f>
        <v/>
      </c>
      <c r="E6" s="9" t="n"/>
      <c r="F6" s="18">
        <f>B6-D6</f>
        <v/>
      </c>
      <c r="G6" s="11" t="n"/>
      <c r="H6" s="19">
        <f>'People &amp; Lent'!$J$13</f>
        <v/>
      </c>
      <c r="I6" s="13" t="n"/>
      <c r="J6" s="20">
        <f>'Cards &amp; Dues'!$H$9</f>
        <v/>
      </c>
      <c r="K6" s="15" t="n"/>
      <c r="L6" s="19">
        <f>'People &amp; Lent'!$J$14</f>
        <v/>
      </c>
      <c r="M6" s="13" t="n"/>
    </row>
    <row r="7" ht="20" customHeight="1">
      <c r="B7" s="21">
        <f>COUNTIFS(Ledger!$H$2:$H$200,"Income",Ledger!$B$2:$B$200,"&gt;="&amp;About!$C$5,Ledger!$B$2:$B$200,"&lt;="&amp;About!$C$6)&amp;" credits"</f>
        <v/>
      </c>
      <c r="C7" s="7" t="n"/>
      <c r="D7" s="22">
        <f>COUNTIFS(Ledger!$N$2:$N$200,"&lt;&gt;0",Ledger!$B$2:$B$200,"&gt;="&amp;About!$C$5,Ledger!$B$2:$B$200,"&lt;="&amp;About!$C$6)&amp;" transactions"</f>
        <v/>
      </c>
      <c r="E7" s="9" t="n"/>
      <c r="F7" s="23">
        <f>IF(B6=0,"",TEXT(F6/B6,"0%")&amp;" of income kept")</f>
        <v/>
      </c>
      <c r="G7" s="11" t="n"/>
      <c r="H7" s="24">
        <f>COUNTIF('People &amp; Lent'!$J$7:$J$11,"&gt;0")&amp;" open"</f>
        <v/>
      </c>
      <c r="I7" s="13" t="n"/>
      <c r="J7" s="25">
        <f>COUNTIFS('Cards &amp; Dues'!$F$6:$F$7,"&gt;=0",'Cards &amp; Dues'!$F$6:$F$7,"&lt;=7",'Cards &amp; Dues'!$H$6:$H$7,"&gt;0")&amp;" card(s)"</f>
        <v/>
      </c>
      <c r="K7" s="15" t="n"/>
      <c r="L7" s="24">
        <f>COUNTIF(Ledger!$H$2:$H$200,"Undecided")&amp;" payment(s) undecided"</f>
        <v/>
      </c>
      <c r="M7" s="13" t="n"/>
    </row>
    <row r="9">
      <c r="B9" s="26" t="inlineStr">
        <is>
          <t>Where the spending went</t>
        </is>
      </c>
      <c r="I9" s="26" t="inlineStr">
        <is>
          <t>Spending by week</t>
        </is>
      </c>
    </row>
    <row r="10" ht="24" customHeight="1">
      <c r="B10" s="27" t="inlineStr">
        <is>
          <t>Block</t>
        </is>
      </c>
      <c r="C10" s="27" t="inlineStr">
        <is>
          <t>Amount</t>
        </is>
      </c>
      <c r="D10" s="27" t="inlineStr">
        <is>
          <t>Share</t>
        </is>
      </c>
      <c r="E10" s="28" t="inlineStr"/>
      <c r="F10" s="29" t="inlineStr"/>
      <c r="G10" s="29" t="inlineStr"/>
      <c r="I10" s="27" t="inlineStr">
        <is>
          <t>Week</t>
        </is>
      </c>
      <c r="J10" s="27" t="inlineStr">
        <is>
          <t>Days</t>
        </is>
      </c>
      <c r="K10" s="27" t="inlineStr">
        <is>
          <t>Spent</t>
        </is>
      </c>
      <c r="L10" s="27" t="inlineStr">
        <is>
          <t>Trend</t>
        </is>
      </c>
    </row>
    <row r="11">
      <c r="B11" s="30" t="inlineStr">
        <is>
          <t>Credit card</t>
        </is>
      </c>
      <c r="C11" s="31">
        <f>SUMIFS(Ledger!$N$2:$N$200,Ledger!$H$2:$H$200,"CC Spend",Ledger!$B$2:$B$200,"&gt;="&amp;About!$C$5,Ledger!$B$2:$B$200,"&lt;="&amp;About!$C$6)</f>
        <v/>
      </c>
      <c r="D11" s="32">
        <f>IF($C$15=0,0,C11/$C$15)</f>
        <v/>
      </c>
      <c r="E11" s="33">
        <f>REPT("█",ROUND(D11*18,0))</f>
        <v/>
      </c>
      <c r="F11" s="34" t="n"/>
      <c r="G11" s="34" t="n"/>
      <c r="I11" s="30" t="inlineStr">
        <is>
          <t>Week 1</t>
        </is>
      </c>
      <c r="J11" s="35">
        <f>"1–7"</f>
        <v/>
      </c>
      <c r="K11" s="31">
        <f>SUMIFS(Ledger!$N$2:$N$200,Ledger!$B$2:$B$200,"&gt;="&amp;DATE(YEAR(About!$C$5),MONTH(About!$C$5),1),Ledger!$B$2:$B$200,"&lt;="&amp;MIN(DATE(YEAR(About!$C$5),MONTH(About!$C$5),7),About!$C$6))</f>
        <v/>
      </c>
      <c r="L11" s="36">
        <f>REPT("█",ROUND(IF(MAX($K$11:$K$15)=0,0,K11/MAX($K$11:$K$15)*10),0))</f>
        <v/>
      </c>
      <c r="M11" s="34" t="n"/>
    </row>
    <row r="12">
      <c r="B12" s="30" t="inlineStr">
        <is>
          <t>Bank</t>
        </is>
      </c>
      <c r="C12" s="31">
        <f>SUMIFS(Ledger!$N$2:$N$200,Ledger!$H$2:$H$200,"Bank Spend",Ledger!$B$2:$B$200,"&gt;="&amp;About!$C$5,Ledger!$B$2:$B$200,"&lt;="&amp;About!$C$6)</f>
        <v/>
      </c>
      <c r="D12" s="32">
        <f>IF($C$15=0,0,C12/$C$15)</f>
        <v/>
      </c>
      <c r="E12" s="36">
        <f>REPT("█",ROUND(D12*18,0))</f>
        <v/>
      </c>
      <c r="F12" s="34" t="n"/>
      <c r="G12" s="34" t="n"/>
      <c r="I12" s="30" t="inlineStr">
        <is>
          <t>Week 2</t>
        </is>
      </c>
      <c r="J12" s="35">
        <f>"8–14"</f>
        <v/>
      </c>
      <c r="K12" s="31">
        <f>SUMIFS(Ledger!$N$2:$N$200,Ledger!$B$2:$B$200,"&gt;="&amp;DATE(YEAR(About!$C$5),MONTH(About!$C$5),8),Ledger!$B$2:$B$200,"&lt;="&amp;MIN(DATE(YEAR(About!$C$5),MONTH(About!$C$5),14),About!$C$6))</f>
        <v/>
      </c>
      <c r="L12" s="36">
        <f>REPT("█",ROUND(IF(MAX($K$11:$K$15)=0,0,K12/MAX($K$11:$K$15)*10),0))</f>
        <v/>
      </c>
      <c r="M12" s="34" t="n"/>
    </row>
    <row r="13">
      <c r="B13" s="30" t="inlineStr">
        <is>
          <t>Regular</t>
        </is>
      </c>
      <c r="C13" s="31">
        <f>SUMIFS(Ledger!$N$2:$N$200,Ledger!$H$2:$H$200,"Regular",Ledger!$B$2:$B$200,"&gt;="&amp;About!$C$5,Ledger!$B$2:$B$200,"&lt;="&amp;About!$C$6)</f>
        <v/>
      </c>
      <c r="D13" s="32">
        <f>IF($C$15=0,0,C13/$C$15)</f>
        <v/>
      </c>
      <c r="E13" s="37">
        <f>REPT("█",ROUND(D13*18,0))</f>
        <v/>
      </c>
      <c r="F13" s="34" t="n"/>
      <c r="G13" s="34" t="n"/>
      <c r="I13" s="30" t="inlineStr">
        <is>
          <t>Week 3</t>
        </is>
      </c>
      <c r="J13" s="35">
        <f>"15–21"</f>
        <v/>
      </c>
      <c r="K13" s="31">
        <f>SUMIFS(Ledger!$N$2:$N$200,Ledger!$B$2:$B$200,"&gt;="&amp;DATE(YEAR(About!$C$5),MONTH(About!$C$5),15),Ledger!$B$2:$B$200,"&lt;="&amp;MIN(DATE(YEAR(About!$C$5),MONTH(About!$C$5),21),About!$C$6))</f>
        <v/>
      </c>
      <c r="L13" s="36">
        <f>REPT("█",ROUND(IF(MAX($K$11:$K$15)=0,0,K13/MAX($K$11:$K$15)*10),0))</f>
        <v/>
      </c>
      <c r="M13" s="34" t="n"/>
    </row>
    <row r="14">
      <c r="B14" s="30" t="inlineStr">
        <is>
          <t>EMI</t>
        </is>
      </c>
      <c r="C14" s="31">
        <f>SUMIFS(Ledger!$N$2:$N$200,Ledger!$H$2:$H$200,"EMI",Ledger!$B$2:$B$200,"&gt;="&amp;About!$C$5,Ledger!$B$2:$B$200,"&lt;="&amp;About!$C$6)</f>
        <v/>
      </c>
      <c r="D14" s="32">
        <f>IF($C$15=0,0,C14/$C$15)</f>
        <v/>
      </c>
      <c r="E14" s="38">
        <f>REPT("█",ROUND(D14*18,0))</f>
        <v/>
      </c>
      <c r="F14" s="34" t="n"/>
      <c r="G14" s="34" t="n"/>
      <c r="I14" s="30" t="inlineStr">
        <is>
          <t>Week 4</t>
        </is>
      </c>
      <c r="J14" s="35">
        <f>"22–28"</f>
        <v/>
      </c>
      <c r="K14" s="31">
        <f>SUMIFS(Ledger!$N$2:$N$200,Ledger!$B$2:$B$200,"&gt;="&amp;DATE(YEAR(About!$C$5),MONTH(About!$C$5),22),Ledger!$B$2:$B$200,"&lt;="&amp;MIN(DATE(YEAR(About!$C$5),MONTH(About!$C$5),28),About!$C$6))</f>
        <v/>
      </c>
      <c r="L14" s="36">
        <f>REPT("█",ROUND(IF(MAX($K$11:$K$15)=0,0,K14/MAX($K$11:$K$15)*10),0))</f>
        <v/>
      </c>
      <c r="M14" s="34" t="n"/>
    </row>
    <row r="15">
      <c r="B15" s="39" t="inlineStr">
        <is>
          <t>Total spent</t>
        </is>
      </c>
      <c r="C15" s="40">
        <f>SUM(C11:C14)</f>
        <v/>
      </c>
      <c r="D15" s="41">
        <f>SUM(D11:D14)</f>
        <v/>
      </c>
      <c r="E15" s="42" t="n"/>
      <c r="F15" s="42" t="n"/>
      <c r="G15" s="42" t="n"/>
      <c r="I15" s="30" t="inlineStr">
        <is>
          <t>Week 5</t>
        </is>
      </c>
      <c r="J15" s="35">
        <f>"29–31"</f>
        <v/>
      </c>
      <c r="K15" s="31">
        <f>SUMIFS(Ledger!$N$2:$N$200,Ledger!$B$2:$B$200,"&gt;="&amp;DATE(YEAR(About!$C$5),MONTH(About!$C$5),29),Ledger!$B$2:$B$200,"&lt;="&amp;MIN(DATE(YEAR(About!$C$5),MONTH(About!$C$5),31),About!$C$6))</f>
        <v/>
      </c>
      <c r="L15" s="36">
        <f>REPT("█",ROUND(IF(MAX($K$11:$K$15)=0,0,K15/MAX($K$11:$K$15)*10),0))</f>
        <v/>
      </c>
      <c r="M15" s="34" t="n"/>
    </row>
    <row r="16">
      <c r="B16" s="43" t="inlineStr">
        <is>
          <t>Check: equals the Total spent card</t>
        </is>
      </c>
      <c r="C16" s="44">
        <f>IF(ROUND(C15-D6,2)=0,"OK","MISMATCH")</f>
        <v/>
      </c>
      <c r="I16" s="43" t="inlineStr">
        <is>
          <t>Highest week</t>
        </is>
      </c>
      <c r="K16" s="45">
        <f>"Week "&amp;MATCH(MAX(K11:K15),K11:K15,0)</f>
        <v/>
      </c>
    </row>
    <row r="18">
      <c r="B18" s="26" t="inlineStr">
        <is>
          <t>Moved between your own accounts</t>
        </is>
      </c>
    </row>
    <row r="19">
      <c r="B19" s="46" t="inlineStr">
        <is>
          <t>Transfers (each counted once)</t>
        </is>
      </c>
      <c r="E19" s="47">
        <f>SUMIFS(Ledger!$F$2:$F$200,Ledger!$H$2:$H$200,"Transfer",Ledger!$E$2:$E$200,"Debit",Ledger!$B$2:$B$200,"&gt;="&amp;About!$C$5,Ledger!$B$2:$B$200,"&lt;="&amp;About!$C$6)</f>
        <v/>
      </c>
      <c r="F19" s="48" t="inlineStr">
        <is>
          <t>Not income, not spending. Both legs stay in each account's history.</t>
        </is>
      </c>
    </row>
    <row r="20">
      <c r="B20" s="46" t="inlineStr">
        <is>
          <t>Card bills paid from banks</t>
        </is>
      </c>
      <c r="E20" s="47">
        <f>SUMIFS(Ledger!$F$2:$F$200,Ledger!$H$2:$H$200,"Card bill",Ledger!$B$2:$B$200,"&gt;="&amp;About!$C$5,Ledger!$B$2:$B$200,"&lt;="&amp;About!$C$6)</f>
        <v/>
      </c>
      <c r="F20" s="48" t="inlineStr">
        <is>
          <t>Settles card liability. Purchases were counted when charged.</t>
        </is>
      </c>
    </row>
    <row r="22">
      <c r="B22" s="26" t="inlineStr">
        <is>
          <t>Coverage and disclosures</t>
        </is>
      </c>
    </row>
    <row r="23">
      <c r="B23" s="49" t="inlineStr">
        <is>
          <t>●</t>
        </is>
      </c>
      <c r="C23" s="50">
        <f>"Needs attention: "&amp;5&amp;" item(s), see the Review sheet"</f>
        <v/>
      </c>
    </row>
    <row r="24">
      <c r="B24" s="49" t="inlineStr">
        <is>
          <t>●</t>
        </is>
      </c>
      <c r="C24" s="50">
        <f>"Awaiting your decision: "&amp;TEXT(L6,"₹#,##0")&amp;" (not in spending or lent until you choose)"</f>
        <v/>
      </c>
    </row>
    <row r="25">
      <c r="B25" s="49" t="inlineStr">
        <is>
          <t>●</t>
        </is>
      </c>
      <c r="C25" s="50">
        <f>"Transfer legs not matched: "&amp;TEXT('Money Map'!E20,"₹#,##0")&amp;" (credit SMS not seen)"</f>
        <v/>
      </c>
    </row>
    <row r="26">
      <c r="B26" s="51" t="inlineStr">
        <is>
          <t>●</t>
        </is>
      </c>
      <c r="C26" s="50">
        <f>"Accounts reporting: 6 of 6 · last SMS 30-Oct-26 (sample)"</f>
        <v/>
      </c>
    </row>
  </sheetData>
  <mergeCells count="21">
    <mergeCell ref="L7:M7"/>
    <mergeCell ref="B7:C7"/>
    <mergeCell ref="J5:K5"/>
    <mergeCell ref="F6:G6"/>
    <mergeCell ref="F7:G7"/>
    <mergeCell ref="L3:M3"/>
    <mergeCell ref="D6:E6"/>
    <mergeCell ref="H6:I6"/>
    <mergeCell ref="J6:K6"/>
    <mergeCell ref="F5:G5"/>
    <mergeCell ref="L5:M5"/>
    <mergeCell ref="B3:H3"/>
    <mergeCell ref="D7:E7"/>
    <mergeCell ref="H7:I7"/>
    <mergeCell ref="J7:K7"/>
    <mergeCell ref="B6:C6"/>
    <mergeCell ref="L6:M6"/>
    <mergeCell ref="B5:C5"/>
    <mergeCell ref="B1:M2"/>
    <mergeCell ref="D5:E5"/>
    <mergeCell ref="H5:I5"/>
  </mergeCells>
  <conditionalFormatting sqref="F6">
    <cfRule type="cellIs" priority="1" operator="lessThan" dxfId="0">
      <formula>0</formula>
    </cfRule>
  </conditionalFormatting>
  <conditionalFormatting sqref="C16">
    <cfRule type="cellIs" priority="2" operator="equal" dxfId="1">
      <formula>"MISMATCH"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B1:I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B1" s="52" t="inlineStr">
        <is>
          <t>Money Map</t>
        </is>
      </c>
      <c r="C1" s="53" t="n"/>
      <c r="D1" s="53" t="n"/>
      <c r="E1" s="53" t="n"/>
      <c r="F1" s="53" t="n"/>
      <c r="G1" s="53" t="n"/>
      <c r="H1" s="53" t="n"/>
      <c r="I1" s="53" t="n"/>
    </row>
    <row r="2">
      <c r="B2" s="53" t="n"/>
      <c r="C2" s="53" t="n"/>
      <c r="D2" s="53" t="n"/>
      <c r="E2" s="53" t="n"/>
      <c r="F2" s="53" t="n"/>
      <c r="G2" s="53" t="n"/>
      <c r="H2" s="53" t="n"/>
      <c r="I2" s="53" t="n"/>
    </row>
    <row r="3">
      <c r="B3" s="48" t="inlineStr">
        <is>
          <t>Where the salary went this month: in, moved to your other accounts, spent. Transfers are counted once and are not spending.</t>
        </is>
      </c>
    </row>
    <row r="5" ht="24" customHeight="1">
      <c r="B5" s="54" t="inlineStr">
        <is>
          <t>Salary flow (HDFC)</t>
        </is>
      </c>
      <c r="C5" s="54" t="inlineStr">
        <is>
          <t>Amount</t>
        </is>
      </c>
      <c r="D5" s="54" t="inlineStr">
        <is>
          <t>Share of salary</t>
        </is>
      </c>
    </row>
    <row r="6">
      <c r="B6" s="30" t="inlineStr">
        <is>
          <t>Salary in</t>
        </is>
      </c>
      <c r="C6" s="55">
        <f>SUMIFS(Ledger!$F$2:$F$200,Ledger!$G$2:$G$200,"Salary",Ledger!$B$2:$B$200,"&gt;="&amp;About!$C$5,Ledger!$B$2:$B$200,"&lt;="&amp;About!$C$6)</f>
        <v/>
      </c>
      <c r="D6" s="32">
        <f>IF($C$6=0,0,C6/$C$6)</f>
        <v/>
      </c>
      <c r="E6" s="36">
        <f>REPT("█",ROUND(D6*24,0))</f>
        <v/>
      </c>
    </row>
    <row r="7">
      <c r="B7" s="33" t="inlineStr">
        <is>
          <t>Moved to other accounts</t>
        </is>
      </c>
      <c r="C7" s="56">
        <f>SUMIFS(Ledger!$F$2:$F$200,Ledger!$C$2:$C$200,"HDFC ••7345",Ledger!$H$2:$H$200,"Transfer",Ledger!$E$2:$E$200,"Debit",Ledger!$B$2:$B$200,"&gt;="&amp;About!$C$5,Ledger!$B$2:$B$200,"&lt;="&amp;About!$C$6)</f>
        <v/>
      </c>
      <c r="D7" s="32">
        <f>IF($C$6=0,0,C7/$C$6)</f>
        <v/>
      </c>
      <c r="E7" s="36">
        <f>REPT("█",ROUND(D7*24,0))</f>
        <v/>
      </c>
    </row>
    <row r="8">
      <c r="B8" s="33" t="inlineStr">
        <is>
          <t>Spent from this account</t>
        </is>
      </c>
      <c r="C8" s="56">
        <f>SUMIFS(Ledger!$N$2:$N$200,Ledger!$C$2:$C$200,"HDFC ••7345",Ledger!$B$2:$B$200,"&gt;="&amp;About!$C$5,Ledger!$B$2:$B$200,"&lt;="&amp;About!$C$6)</f>
        <v/>
      </c>
      <c r="D8" s="32">
        <f>IF($C$6=0,0,C8/$C$6)</f>
        <v/>
      </c>
      <c r="E8" s="38">
        <f>REPT("█",ROUND(D8*24,0))</f>
        <v/>
      </c>
    </row>
    <row r="9">
      <c r="B9" s="30" t="inlineStr">
        <is>
          <t>Left from this month's salary</t>
        </is>
      </c>
      <c r="C9" s="55">
        <f>C6-C7-C8</f>
        <v/>
      </c>
      <c r="D9" s="32">
        <f>IF($C$6=0,0,C9/$C$6)</f>
        <v/>
      </c>
      <c r="E9" s="36">
        <f>REPT("█",ROUND(D9*24,0))</f>
        <v/>
      </c>
    </row>
    <row r="12" ht="24" customHeight="1">
      <c r="B12" s="54" t="inlineStr">
        <is>
          <t>Account</t>
        </is>
      </c>
      <c r="C12" s="54" t="inlineStr">
        <is>
          <t>Income in</t>
        </is>
      </c>
      <c r="D12" s="54" t="inlineStr">
        <is>
          <t>Transfers in</t>
        </is>
      </c>
      <c r="E12" s="54" t="inlineStr">
        <is>
          <t>Transfers out</t>
        </is>
      </c>
      <c r="F12" s="54" t="inlineStr">
        <is>
          <t>Spent</t>
        </is>
      </c>
      <c r="G12" s="54" t="inlineStr">
        <is>
          <t>Lent + undecided</t>
        </is>
      </c>
      <c r="H12" s="54" t="inlineStr">
        <is>
          <t>Card bills paid</t>
        </is>
      </c>
      <c r="I12" s="54" t="inlineStr">
        <is>
          <t>Net change</t>
        </is>
      </c>
    </row>
    <row r="13">
      <c r="B13" s="30" t="inlineStr">
        <is>
          <t>HDFC ••7345</t>
        </is>
      </c>
      <c r="C13" s="56">
        <f>SUMIFS(Ledger!$F$2:$F$200,Ledger!$C$2:$C$200,B13,Ledger!$H$2:$H$200,"Income",Ledger!$B$2:$B$200,"&gt;="&amp;About!$C$5,Ledger!$B$2:$B$200,"&lt;="&amp;About!$C$6)</f>
        <v/>
      </c>
      <c r="D13" s="56">
        <f>SUMIFS(Ledger!$F$2:$F$200,Ledger!$C$2:$C$200,B13,Ledger!$H$2:$H$200,"Transfer",Ledger!$E$2:$E$200,"Credit",Ledger!$B$2:$B$200,"&gt;="&amp;About!$C$5,Ledger!$B$2:$B$200,"&lt;="&amp;About!$C$6)</f>
        <v/>
      </c>
      <c r="E13" s="56">
        <f>SUMIFS(Ledger!$F$2:$F$200,Ledger!$C$2:$C$200,B13,Ledger!$H$2:$H$200,"Transfer",Ledger!$E$2:$E$200,"Debit",Ledger!$B$2:$B$200,"&gt;="&amp;About!$C$5,Ledger!$B$2:$B$200,"&lt;="&amp;About!$C$6)</f>
        <v/>
      </c>
      <c r="F13" s="56">
        <f>SUMIFS(Ledger!$N$2:$N$200,Ledger!$C$2:$C$200,B13,Ledger!$B$2:$B$200,"&gt;="&amp;About!$C$5,Ledger!$B$2:$B$200,"&lt;="&amp;About!$C$6)</f>
        <v/>
      </c>
      <c r="G13" s="56">
        <f>SUMIFS(Ledger!$F$2:$F$200,Ledger!$C$2:$C$200,B13,Ledger!$H$2:$H$200,"Lent",Ledger!$B$2:$B$200,"&gt;="&amp;About!$C$5,Ledger!$B$2:$B$200,"&lt;="&amp;About!$C$6)+SUMIFS(Ledger!$F$2:$F$200,Ledger!$C$2:$C$200,B13,Ledger!$H$2:$H$200,"Undecided",Ledger!$B$2:$B$200,"&gt;="&amp;About!$C$5,Ledger!$B$2:$B$200,"&lt;="&amp;About!$C$6)-SUMIFS(Ledger!$F$2:$F$200,Ledger!$C$2:$C$200,B13,Ledger!$H$2:$H$200,"Lent repayment",Ledger!$B$2:$B$200,"&gt;="&amp;About!$C$5,Ledger!$B$2:$B$200,"&lt;="&amp;About!$C$6)</f>
        <v/>
      </c>
      <c r="H13" s="56">
        <f>SUMIFS(Ledger!$F$2:$F$200,Ledger!$C$2:$C$200,B13,Ledger!$H$2:$H$200,"Card bill",Ledger!$B$2:$B$200,"&gt;="&amp;About!$C$5,Ledger!$B$2:$B$200,"&lt;="&amp;About!$C$6)</f>
        <v/>
      </c>
      <c r="I13" s="55">
        <f>C13+D13-E13-F13-G13-H13</f>
        <v/>
      </c>
    </row>
    <row r="14">
      <c r="B14" s="30" t="inlineStr">
        <is>
          <t>Kotak ••2126</t>
        </is>
      </c>
      <c r="C14" s="56">
        <f>SUMIFS(Ledger!$F$2:$F$200,Ledger!$C$2:$C$200,B14,Ledger!$H$2:$H$200,"Income",Ledger!$B$2:$B$200,"&gt;="&amp;About!$C$5,Ledger!$B$2:$B$200,"&lt;="&amp;About!$C$6)</f>
        <v/>
      </c>
      <c r="D14" s="56">
        <f>SUMIFS(Ledger!$F$2:$F$200,Ledger!$C$2:$C$200,B14,Ledger!$H$2:$H$200,"Transfer",Ledger!$E$2:$E$200,"Credit",Ledger!$B$2:$B$200,"&gt;="&amp;About!$C$5,Ledger!$B$2:$B$200,"&lt;="&amp;About!$C$6)</f>
        <v/>
      </c>
      <c r="E14" s="56">
        <f>SUMIFS(Ledger!$F$2:$F$200,Ledger!$C$2:$C$200,B14,Ledger!$H$2:$H$200,"Transfer",Ledger!$E$2:$E$200,"Debit",Ledger!$B$2:$B$200,"&gt;="&amp;About!$C$5,Ledger!$B$2:$B$200,"&lt;="&amp;About!$C$6)</f>
        <v/>
      </c>
      <c r="F14" s="56">
        <f>SUMIFS(Ledger!$N$2:$N$200,Ledger!$C$2:$C$200,B14,Ledger!$B$2:$B$200,"&gt;="&amp;About!$C$5,Ledger!$B$2:$B$200,"&lt;="&amp;About!$C$6)</f>
        <v/>
      </c>
      <c r="G14" s="56">
        <f>SUMIFS(Ledger!$F$2:$F$200,Ledger!$C$2:$C$200,B14,Ledger!$H$2:$H$200,"Lent",Ledger!$B$2:$B$200,"&gt;="&amp;About!$C$5,Ledger!$B$2:$B$200,"&lt;="&amp;About!$C$6)+SUMIFS(Ledger!$F$2:$F$200,Ledger!$C$2:$C$200,B14,Ledger!$H$2:$H$200,"Undecided",Ledger!$B$2:$B$200,"&gt;="&amp;About!$C$5,Ledger!$B$2:$B$200,"&lt;="&amp;About!$C$6)-SUMIFS(Ledger!$F$2:$F$200,Ledger!$C$2:$C$200,B14,Ledger!$H$2:$H$200,"Lent repayment",Ledger!$B$2:$B$200,"&gt;="&amp;About!$C$5,Ledger!$B$2:$B$200,"&lt;="&amp;About!$C$6)</f>
        <v/>
      </c>
      <c r="H14" s="56">
        <f>SUMIFS(Ledger!$F$2:$F$200,Ledger!$C$2:$C$200,B14,Ledger!$H$2:$H$200,"Card bill",Ledger!$B$2:$B$200,"&gt;="&amp;About!$C$5,Ledger!$B$2:$B$200,"&lt;="&amp;About!$C$6)</f>
        <v/>
      </c>
      <c r="I14" s="55">
        <f>C14+D14-E14-F14-G14-H14</f>
        <v/>
      </c>
    </row>
    <row r="15">
      <c r="B15" s="30" t="inlineStr">
        <is>
          <t>Federal ••3268</t>
        </is>
      </c>
      <c r="C15" s="56">
        <f>SUMIFS(Ledger!$F$2:$F$200,Ledger!$C$2:$C$200,B15,Ledger!$H$2:$H$200,"Income",Ledger!$B$2:$B$200,"&gt;="&amp;About!$C$5,Ledger!$B$2:$B$200,"&lt;="&amp;About!$C$6)</f>
        <v/>
      </c>
      <c r="D15" s="56">
        <f>SUMIFS(Ledger!$F$2:$F$200,Ledger!$C$2:$C$200,B15,Ledger!$H$2:$H$200,"Transfer",Ledger!$E$2:$E$200,"Credit",Ledger!$B$2:$B$200,"&gt;="&amp;About!$C$5,Ledger!$B$2:$B$200,"&lt;="&amp;About!$C$6)</f>
        <v/>
      </c>
      <c r="E15" s="56">
        <f>SUMIFS(Ledger!$F$2:$F$200,Ledger!$C$2:$C$200,B15,Ledger!$H$2:$H$200,"Transfer",Ledger!$E$2:$E$200,"Debit",Ledger!$B$2:$B$200,"&gt;="&amp;About!$C$5,Ledger!$B$2:$B$200,"&lt;="&amp;About!$C$6)</f>
        <v/>
      </c>
      <c r="F15" s="56">
        <f>SUMIFS(Ledger!$N$2:$N$200,Ledger!$C$2:$C$200,B15,Ledger!$B$2:$B$200,"&gt;="&amp;About!$C$5,Ledger!$B$2:$B$200,"&lt;="&amp;About!$C$6)</f>
        <v/>
      </c>
      <c r="G15" s="56">
        <f>SUMIFS(Ledger!$F$2:$F$200,Ledger!$C$2:$C$200,B15,Ledger!$H$2:$H$200,"Lent",Ledger!$B$2:$B$200,"&gt;="&amp;About!$C$5,Ledger!$B$2:$B$200,"&lt;="&amp;About!$C$6)+SUMIFS(Ledger!$F$2:$F$200,Ledger!$C$2:$C$200,B15,Ledger!$H$2:$H$200,"Undecided",Ledger!$B$2:$B$200,"&gt;="&amp;About!$C$5,Ledger!$B$2:$B$200,"&lt;="&amp;About!$C$6)-SUMIFS(Ledger!$F$2:$F$200,Ledger!$C$2:$C$200,B15,Ledger!$H$2:$H$200,"Lent repayment",Ledger!$B$2:$B$200,"&gt;="&amp;About!$C$5,Ledger!$B$2:$B$200,"&lt;="&amp;About!$C$6)</f>
        <v/>
      </c>
      <c r="H15" s="56">
        <f>SUMIFS(Ledger!$F$2:$F$200,Ledger!$C$2:$C$200,B15,Ledger!$H$2:$H$200,"Card bill",Ledger!$B$2:$B$200,"&gt;="&amp;About!$C$5,Ledger!$B$2:$B$200,"&lt;="&amp;About!$C$6)</f>
        <v/>
      </c>
      <c r="I15" s="55">
        <f>C15+D15-E15-F15-G15-H15</f>
        <v/>
      </c>
    </row>
    <row r="16">
      <c r="B16" s="30" t="inlineStr">
        <is>
          <t>CUB ••1756</t>
        </is>
      </c>
      <c r="C16" s="56">
        <f>SUMIFS(Ledger!$F$2:$F$200,Ledger!$C$2:$C$200,B16,Ledger!$H$2:$H$200,"Income",Ledger!$B$2:$B$200,"&gt;="&amp;About!$C$5,Ledger!$B$2:$B$200,"&lt;="&amp;About!$C$6)</f>
        <v/>
      </c>
      <c r="D16" s="56">
        <f>SUMIFS(Ledger!$F$2:$F$200,Ledger!$C$2:$C$200,B16,Ledger!$H$2:$H$200,"Transfer",Ledger!$E$2:$E$200,"Credit",Ledger!$B$2:$B$200,"&gt;="&amp;About!$C$5,Ledger!$B$2:$B$200,"&lt;="&amp;About!$C$6)</f>
        <v/>
      </c>
      <c r="E16" s="56">
        <f>SUMIFS(Ledger!$F$2:$F$200,Ledger!$C$2:$C$200,B16,Ledger!$H$2:$H$200,"Transfer",Ledger!$E$2:$E$200,"Debit",Ledger!$B$2:$B$200,"&gt;="&amp;About!$C$5,Ledger!$B$2:$B$200,"&lt;="&amp;About!$C$6)</f>
        <v/>
      </c>
      <c r="F16" s="56">
        <f>SUMIFS(Ledger!$N$2:$N$200,Ledger!$C$2:$C$200,B16,Ledger!$B$2:$B$200,"&gt;="&amp;About!$C$5,Ledger!$B$2:$B$200,"&lt;="&amp;About!$C$6)</f>
        <v/>
      </c>
      <c r="G16" s="56">
        <f>SUMIFS(Ledger!$F$2:$F$200,Ledger!$C$2:$C$200,B16,Ledger!$H$2:$H$200,"Lent",Ledger!$B$2:$B$200,"&gt;="&amp;About!$C$5,Ledger!$B$2:$B$200,"&lt;="&amp;About!$C$6)+SUMIFS(Ledger!$F$2:$F$200,Ledger!$C$2:$C$200,B16,Ledger!$H$2:$H$200,"Undecided",Ledger!$B$2:$B$200,"&gt;="&amp;About!$C$5,Ledger!$B$2:$B$200,"&lt;="&amp;About!$C$6)-SUMIFS(Ledger!$F$2:$F$200,Ledger!$C$2:$C$200,B16,Ledger!$H$2:$H$200,"Lent repayment",Ledger!$B$2:$B$200,"&gt;="&amp;About!$C$5,Ledger!$B$2:$B$200,"&lt;="&amp;About!$C$6)</f>
        <v/>
      </c>
      <c r="H16" s="56">
        <f>SUMIFS(Ledger!$F$2:$F$200,Ledger!$C$2:$C$200,B16,Ledger!$H$2:$H$200,"Card bill",Ledger!$B$2:$B$200,"&gt;="&amp;About!$C$5,Ledger!$B$2:$B$200,"&lt;="&amp;About!$C$6)</f>
        <v/>
      </c>
      <c r="I16" s="55">
        <f>C16+D16-E16-F16-G16-H16</f>
        <v/>
      </c>
    </row>
    <row r="17">
      <c r="B17" s="39" t="inlineStr">
        <is>
          <t>All accounts</t>
        </is>
      </c>
      <c r="C17" s="57">
        <f>SUM(C13:C16)</f>
        <v/>
      </c>
      <c r="D17" s="57">
        <f>SUM(D13:D16)</f>
        <v/>
      </c>
      <c r="E17" s="57">
        <f>SUM(E13:E16)</f>
        <v/>
      </c>
      <c r="F17" s="57">
        <f>SUM(F13:F16)</f>
        <v/>
      </c>
      <c r="G17" s="57">
        <f>SUM(G13:G16)</f>
        <v/>
      </c>
      <c r="H17" s="57">
        <f>SUM(H13:H16)</f>
        <v/>
      </c>
      <c r="I17" s="57">
        <f>SUM(I13:I16)</f>
        <v/>
      </c>
    </row>
    <row r="18">
      <c r="B18" s="58" t="inlineStr">
        <is>
          <t>Transfers in and out differ by the amounts whose other leg was not seen. This is disclosed, never absorbed.</t>
        </is>
      </c>
    </row>
    <row r="19">
      <c r="B19" s="58" t="inlineStr">
        <is>
          <t>Lent + undecided is net of repayments received. Net change is this month's movement, not an account balance.</t>
        </is>
      </c>
    </row>
    <row r="20">
      <c r="B20" s="46" t="inlineStr">
        <is>
          <t>Transfers not matched (in minus out)</t>
        </is>
      </c>
      <c r="E20" s="59">
        <f>D17-E17</f>
        <v/>
      </c>
    </row>
  </sheetData>
  <mergeCells count="1">
    <mergeCell ref="B1:I2"/>
  </mergeCells>
  <conditionalFormatting sqref="F13:F16">
    <cfRule type="dataBar" priority="1">
      <dataBar>
        <cfvo type="num" val="0"/>
        <cfvo type="max"/>
        <color rgb="00F59E0B"/>
      </dataBar>
    </cfRule>
  </conditionalFormatting>
  <conditionalFormatting sqref="I13:I16">
    <cfRule type="cellIs" priority="2" operator="lessThan" dxfId="2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B1:J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4" customWidth="1" min="4" max="4"/>
    <col width="13" customWidth="1" min="5" max="5"/>
    <col width="11" customWidth="1" min="6" max="6"/>
    <col width="15" customWidth="1" min="7" max="7"/>
    <col width="15" customWidth="1" min="8" max="8"/>
    <col width="17" customWidth="1" min="9" max="9"/>
    <col width="44" customWidth="1" min="10" max="10"/>
  </cols>
  <sheetData>
    <row r="1">
      <c r="B1" s="60" t="inlineStr">
        <is>
          <t>Cards &amp; Dues</t>
        </is>
      </c>
      <c r="C1" s="61" t="n"/>
      <c r="D1" s="61" t="n"/>
      <c r="E1" s="61" t="n"/>
      <c r="F1" s="61" t="n"/>
      <c r="G1" s="61" t="n"/>
      <c r="H1" s="61" t="n"/>
      <c r="I1" s="61" t="n"/>
      <c r="J1" s="61" t="n"/>
    </row>
    <row r="2"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</row>
    <row r="3">
      <c r="B3" s="48" t="inlineStr">
        <is>
          <t>Due date drives the red "Billed tomorrow" list. A bill stays here until paid; payments you assign to a card reduce what is still due.</t>
        </is>
      </c>
    </row>
    <row r="5" ht="24" customHeight="1">
      <c r="B5" s="62" t="inlineStr">
        <is>
          <t>Card</t>
        </is>
      </c>
      <c r="C5" s="62" t="inlineStr">
        <is>
          <t>Statement total</t>
        </is>
      </c>
      <c r="D5" s="62" t="inlineStr">
        <is>
          <t>Minimum due</t>
        </is>
      </c>
      <c r="E5" s="62" t="inlineStr">
        <is>
          <t>Due date</t>
        </is>
      </c>
      <c r="F5" s="62" t="inlineStr">
        <is>
          <t>Days left</t>
        </is>
      </c>
      <c r="G5" s="62" t="inlineStr">
        <is>
          <t>Paid so far</t>
        </is>
      </c>
      <c r="H5" s="62" t="inlineStr">
        <is>
          <t>Still due</t>
        </is>
      </c>
      <c r="I5" s="62" t="inlineStr">
        <is>
          <t>Status</t>
        </is>
      </c>
      <c r="J5" s="62" t="inlineStr">
        <is>
          <t>Note</t>
        </is>
      </c>
    </row>
    <row r="6" ht="22" customHeight="1">
      <c r="B6" s="30" t="inlineStr">
        <is>
          <t>ICICI CC ••9000</t>
        </is>
      </c>
      <c r="C6" s="63" t="n">
        <v>11020.4</v>
      </c>
      <c r="D6" s="63" t="n">
        <v>3700</v>
      </c>
      <c r="E6" s="64" t="n">
        <v>46326</v>
      </c>
      <c r="F6" s="65">
        <f>E6-About!$C$4</f>
        <v/>
      </c>
      <c r="G6" s="56">
        <f>SUMIFS(Ledger!$F$2:$F$200,Ledger!$M$2:$M$200,B6,Ledger!$H$2:$H$200,"Card bill")</f>
        <v/>
      </c>
      <c r="H6" s="55">
        <f>MAX(C6-G6,0)</f>
        <v/>
      </c>
      <c r="I6" s="30">
        <f>IF(H6&lt;=0,"Paid",IF(F6&lt;0,"Overdue",IF(F6=0,"Due today",IF(F6=1,"Due tomorrow",IF(F6&lt;=7,"Due soon","Upcoming")))))</f>
        <v/>
      </c>
      <c r="J6" s="66" t="inlineStr">
        <is>
          <t>Paid ₹9,261.34 via CRED, issuer confirmation not received yet</t>
        </is>
      </c>
    </row>
    <row r="7" ht="22" customHeight="1">
      <c r="B7" s="30" t="inlineStr">
        <is>
          <t>SBI CC ••8100</t>
        </is>
      </c>
      <c r="C7" s="63" t="n">
        <v>18250</v>
      </c>
      <c r="D7" s="63" t="n">
        <v>365</v>
      </c>
      <c r="E7" s="64" t="n">
        <v>46335</v>
      </c>
      <c r="F7" s="65">
        <f>E7-About!$C$4</f>
        <v/>
      </c>
      <c r="G7" s="56">
        <f>SUMIFS(Ledger!$F$2:$F$200,Ledger!$M$2:$M$200,B7,Ledger!$H$2:$H$200,"Card bill")</f>
        <v/>
      </c>
      <c r="H7" s="55">
        <f>MAX(C7-G7,0)</f>
        <v/>
      </c>
      <c r="I7" s="30">
        <f>IF(H7&lt;=0,"Paid",IF(F7&lt;0,"Overdue",IF(F7=0,"Due today",IF(F7=1,"Due tomorrow",IF(F7&lt;=7,"Due soon","Upcoming")))))</f>
        <v/>
      </c>
      <c r="J7" s="66" t="inlineStr">
        <is>
          <t>No payment recorded</t>
        </is>
      </c>
    </row>
    <row r="9">
      <c r="B9" s="46" t="inlineStr">
        <is>
          <t>Due within 7 days (still due)</t>
        </is>
      </c>
      <c r="H9" s="67">
        <f>SUMIFS(H6:H7,F6:F7,"&gt;=0",F6:F7,"&lt;=7")</f>
        <v/>
      </c>
    </row>
    <row r="10">
      <c r="B10" s="58" t="inlineStr">
        <is>
          <t>Card purchases are counted when charged (Overview, CC Spend). Paying the bill is never counted as spending.</t>
        </is>
      </c>
    </row>
  </sheetData>
  <mergeCells count="1">
    <mergeCell ref="B1:J2"/>
  </mergeCells>
  <conditionalFormatting sqref="I6:I7">
    <cfRule type="expression" priority="1" dxfId="3">
      <formula>$I6="Overdue"</formula>
    </cfRule>
    <cfRule type="expression" priority="2" dxfId="3">
      <formula>$I6="Due today"</formula>
    </cfRule>
    <cfRule type="expression" priority="3" dxfId="4">
      <formula>$I6="Due tomorrow"</formula>
    </cfRule>
    <cfRule type="expression" priority="4" dxfId="5">
      <formula>$I6="Due soon"</formula>
    </cfRule>
    <cfRule type="expression" priority="5" dxfId="6">
      <formula>$I6="Paid"</formula>
    </cfRule>
    <cfRule type="expression" priority="6" dxfId="7">
      <formula>$I6="Upcoming"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B1:L1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1" customWidth="1" min="3" max="3"/>
    <col width="18" customWidth="1" min="4" max="4"/>
    <col width="28" customWidth="1" min="5" max="5"/>
    <col width="17" customWidth="1" min="6" max="6"/>
    <col width="14" customWidth="1" min="7" max="7"/>
    <col width="13" customWidth="1" min="8" max="8"/>
    <col width="13" customWidth="1" min="9" max="9"/>
    <col width="14" customWidth="1" min="10" max="10"/>
    <col width="10" customWidth="1" min="11" max="11"/>
    <col width="26" customWidth="1" min="12" max="12"/>
  </cols>
  <sheetData>
    <row r="1">
      <c r="B1" s="68" t="inlineStr">
        <is>
          <t>People &amp; Lent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</row>
    <row r="2"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</row>
    <row r="3">
      <c r="B3" s="48" t="inlineStr">
        <is>
          <t>Every UPI payment to a person is tracked. Pick Spend, Lent or Undecided in the State column (blue).</t>
        </is>
      </c>
    </row>
    <row r="4">
      <c r="B4" s="70" t="inlineStr">
        <is>
          <t>Auto-spend threshold (app setting)</t>
        </is>
      </c>
      <c r="E4" s="71" t="n">
        <v>1000</v>
      </c>
    </row>
    <row r="6" ht="24" customHeight="1">
      <c r="B6" s="72" t="inlineStr">
        <is>
          <t>Ledger</t>
        </is>
      </c>
      <c r="C6" s="72" t="inlineStr">
        <is>
          <t>Date</t>
        </is>
      </c>
      <c r="D6" s="72" t="inlineStr">
        <is>
          <t>Person</t>
        </is>
      </c>
      <c r="E6" s="72" t="inlineStr">
        <is>
          <t>UPI id, or name + ref</t>
        </is>
      </c>
      <c r="F6" s="72" t="inlineStr">
        <is>
          <t>From account</t>
        </is>
      </c>
      <c r="G6" s="72" t="inlineStr">
        <is>
          <t>Amount</t>
        </is>
      </c>
      <c r="H6" s="72" t="inlineStr">
        <is>
          <t>State</t>
        </is>
      </c>
      <c r="I6" s="72" t="inlineStr">
        <is>
          <t>Repaid</t>
        </is>
      </c>
      <c r="J6" s="72" t="inlineStr">
        <is>
          <t>Outstanding</t>
        </is>
      </c>
      <c r="K6" s="72" t="inlineStr">
        <is>
          <t>Age (days)</t>
        </is>
      </c>
      <c r="L6" s="72" t="inlineStr">
        <is>
          <t>Next step</t>
        </is>
      </c>
    </row>
    <row r="7">
      <c r="B7" s="66">
        <f>Ledger!A21</f>
        <v/>
      </c>
      <c r="C7" s="73">
        <f>Ledger!B21</f>
        <v/>
      </c>
      <c r="D7" s="30">
        <f>Ledger!J21</f>
        <v/>
      </c>
      <c r="E7" s="33" t="inlineStr">
        <is>
          <t>Name only · UPI ref U-6001</t>
        </is>
      </c>
      <c r="F7" s="33">
        <f>Ledger!C21</f>
        <v/>
      </c>
      <c r="G7" s="56">
        <f>Ledger!F21</f>
        <v/>
      </c>
      <c r="H7" s="74" t="inlineStr">
        <is>
          <t>Lent</t>
        </is>
      </c>
      <c r="I7" s="56">
        <f>SUMIFS(Ledger!$F$2:$F$200,Ledger!$H$2:$H$200,"Lent repayment",Ledger!$J$2:$J$200,D7)</f>
        <v/>
      </c>
      <c r="J7" s="55">
        <f>IF(H7="Lent",G7-I7,0)</f>
        <v/>
      </c>
      <c r="K7" s="65">
        <f>IF(J7&gt;0,About!$C$4-C7,"")</f>
        <v/>
      </c>
      <c r="L7" s="66">
        <f>IF(H7="Undecided","Decide: Lent or Spend",IF(AND(H7="Lent",J7&gt;0),"Waiting for repayment",IF(H7="Lent","Settled","")))</f>
        <v/>
      </c>
    </row>
    <row r="8">
      <c r="B8" s="66">
        <f>Ledger!A30</f>
        <v/>
      </c>
      <c r="C8" s="73">
        <f>Ledger!B30</f>
        <v/>
      </c>
      <c r="D8" s="30">
        <f>Ledger!J30</f>
        <v/>
      </c>
      <c r="E8" s="33" t="inlineStr">
        <is>
          <t>Name only · UPI ref U-6003</t>
        </is>
      </c>
      <c r="F8" s="33">
        <f>Ledger!C30</f>
        <v/>
      </c>
      <c r="G8" s="56">
        <f>Ledger!F30</f>
        <v/>
      </c>
      <c r="H8" s="74" t="inlineStr">
        <is>
          <t>Spend</t>
        </is>
      </c>
      <c r="I8" s="56">
        <f>SUMIFS(Ledger!$F$2:$F$200,Ledger!$H$2:$H$200,"Lent repayment",Ledger!$J$2:$J$200,D8)</f>
        <v/>
      </c>
      <c r="J8" s="55">
        <f>IF(H8="Lent",G8-I8,0)</f>
        <v/>
      </c>
      <c r="K8" s="65">
        <f>IF(J8&gt;0,About!$C$4-C8,"")</f>
        <v/>
      </c>
      <c r="L8" s="66">
        <f>IF(H8="Undecided","Decide: Lent or Spend",IF(AND(H8="Lent",J8&gt;0),"Waiting for repayment",IF(H8="Lent","Settled","")))</f>
        <v/>
      </c>
    </row>
    <row r="9">
      <c r="B9" s="66">
        <f>Ledger!A33</f>
        <v/>
      </c>
      <c r="C9" s="73">
        <f>Ledger!B33</f>
        <v/>
      </c>
      <c r="D9" s="30">
        <f>Ledger!J33</f>
        <v/>
      </c>
      <c r="E9" s="33" t="inlineStr">
        <is>
          <t>Name only · UPI ref U-6004</t>
        </is>
      </c>
      <c r="F9" s="33">
        <f>Ledger!C33</f>
        <v/>
      </c>
      <c r="G9" s="56">
        <f>Ledger!F33</f>
        <v/>
      </c>
      <c r="H9" s="74" t="inlineStr">
        <is>
          <t>Undecided</t>
        </is>
      </c>
      <c r="I9" s="56">
        <f>SUMIFS(Ledger!$F$2:$F$200,Ledger!$H$2:$H$200,"Lent repayment",Ledger!$J$2:$J$200,D9)</f>
        <v/>
      </c>
      <c r="J9" s="55">
        <f>IF(H9="Lent",G9-I9,0)</f>
        <v/>
      </c>
      <c r="K9" s="65">
        <f>IF(J9&gt;0,About!$C$4-C9,"")</f>
        <v/>
      </c>
      <c r="L9" s="66">
        <f>IF(H9="Undecided","Decide: Lent or Spend",IF(AND(H9="Lent",J9&gt;0),"Waiting for repayment",IF(H9="Lent","Settled","")))</f>
        <v/>
      </c>
    </row>
    <row r="10">
      <c r="B10" s="66">
        <f>Ledger!A36</f>
        <v/>
      </c>
      <c r="C10" s="73">
        <f>Ledger!B36</f>
        <v/>
      </c>
      <c r="D10" s="30">
        <f>Ledger!J36</f>
        <v/>
      </c>
      <c r="E10" s="33" t="inlineStr">
        <is>
          <t>Name only · UPI ref U-6005</t>
        </is>
      </c>
      <c r="F10" s="33">
        <f>Ledger!C36</f>
        <v/>
      </c>
      <c r="G10" s="56">
        <f>Ledger!F36</f>
        <v/>
      </c>
      <c r="H10" s="74" t="inlineStr">
        <is>
          <t>Spend</t>
        </is>
      </c>
      <c r="I10" s="56">
        <f>SUMIFS(Ledger!$F$2:$F$200,Ledger!$H$2:$H$200,"Lent repayment",Ledger!$J$2:$J$200,D10)</f>
        <v/>
      </c>
      <c r="J10" s="55">
        <f>IF(H10="Lent",G10-I10,0)</f>
        <v/>
      </c>
      <c r="K10" s="65">
        <f>IF(J10&gt;0,About!$C$4-C10,"")</f>
        <v/>
      </c>
      <c r="L10" s="66">
        <f>IF(H10="Undecided","Decide: Lent or Spend",IF(AND(H10="Lent",J10&gt;0),"Waiting for repayment",IF(H10="Lent","Settled","")))</f>
        <v/>
      </c>
    </row>
    <row r="11">
      <c r="B11" s="66">
        <f>Ledger!A40</f>
        <v/>
      </c>
      <c r="C11" s="73">
        <f>Ledger!B40</f>
        <v/>
      </c>
      <c r="D11" s="30">
        <f>Ledger!J40</f>
        <v/>
      </c>
      <c r="E11" s="33" t="inlineStr">
        <is>
          <t>suresh.p@upi</t>
        </is>
      </c>
      <c r="F11" s="33">
        <f>Ledger!C40</f>
        <v/>
      </c>
      <c r="G11" s="56">
        <f>Ledger!F40</f>
        <v/>
      </c>
      <c r="H11" s="74" t="inlineStr">
        <is>
          <t>Lent</t>
        </is>
      </c>
      <c r="I11" s="56">
        <f>SUMIFS(Ledger!$F$2:$F$200,Ledger!$H$2:$H$200,"Lent repayment",Ledger!$J$2:$J$200,D11)</f>
        <v/>
      </c>
      <c r="J11" s="55">
        <f>IF(H11="Lent",G11-I11,0)</f>
        <v/>
      </c>
      <c r="K11" s="65">
        <f>IF(J11&gt;0,About!$C$4-C11,"")</f>
        <v/>
      </c>
      <c r="L11" s="66">
        <f>IF(H11="Undecided","Decide: Lent or Spend",IF(AND(H11="Lent",J11&gt;0),"Waiting for repayment",IF(H11="Lent","Settled","")))</f>
        <v/>
      </c>
    </row>
    <row r="13">
      <c r="B13" s="46" t="inlineStr">
        <is>
          <t>Total lent outstanding</t>
        </is>
      </c>
      <c r="J13" s="67">
        <f>SUM(J7:J11)</f>
        <v/>
      </c>
    </row>
    <row r="14">
      <c r="B14" s="46" t="inlineStr">
        <is>
          <t>Awaiting your decision</t>
        </is>
      </c>
      <c r="J14" s="67">
        <f>SUMIFS(G7:G11,H7:H11,"Undecided")</f>
        <v/>
      </c>
    </row>
  </sheetData>
  <mergeCells count="1">
    <mergeCell ref="B1:L2"/>
  </mergeCells>
  <conditionalFormatting sqref="H7:H11">
    <cfRule type="expression" priority="1" dxfId="6">
      <formula>H7="Lent"</formula>
    </cfRule>
    <cfRule type="expression" priority="2" dxfId="5">
      <formula>H7="Undecided"</formula>
    </cfRule>
  </conditionalFormatting>
  <conditionalFormatting sqref="K7:K11">
    <cfRule type="dataBar" priority="3">
      <dataBar>
        <cfvo type="num" val="0"/>
        <cfvo type="num" val="60"/>
        <color rgb="00F59E0B"/>
      </dataBar>
    </cfRule>
  </conditionalFormatting>
  <dataValidations count="1">
    <dataValidation sqref="H7 H8 H9 H10 H11" showDropDown="0" showInputMessage="0" showErrorMessage="0" allowBlank="0" type="list">
      <formula1>"Spend,Lent,Undecided"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B1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1" customWidth="1" min="3" max="3"/>
    <col width="14" customWidth="1" min="4" max="4"/>
    <col width="12" customWidth="1" min="5" max="5"/>
    <col width="14" customWidth="1" min="6" max="6"/>
    <col width="18" customWidth="1" min="7" max="7"/>
    <col width="12" customWidth="1" min="8" max="8"/>
    <col width="24" customWidth="1" min="9" max="9"/>
    <col width="30" customWidth="1" min="10" max="10"/>
  </cols>
  <sheetData>
    <row r="1">
      <c r="B1" s="75" t="inlineStr">
        <is>
          <t>Regular &amp; EMI</t>
        </is>
      </c>
      <c r="C1" s="76" t="n"/>
      <c r="D1" s="76" t="n"/>
      <c r="E1" s="76" t="n"/>
      <c r="F1" s="76" t="n"/>
      <c r="G1" s="76" t="n"/>
      <c r="H1" s="76" t="n"/>
      <c r="I1" s="76" t="n"/>
      <c r="J1" s="76" t="n"/>
    </row>
    <row r="2"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</row>
    <row r="3">
      <c r="B3" s="48" t="inlineStr">
        <is>
          <t>Items you define. When a matching SMS arrives its real amount replaces the expected one. No SMS yet is shown, never guessed.</t>
        </is>
      </c>
    </row>
    <row r="5" ht="24" customHeight="1">
      <c r="B5" s="77" t="inlineStr">
        <is>
          <t>Item</t>
        </is>
      </c>
      <c r="C5" s="77" t="inlineStr">
        <is>
          <t>Kind</t>
        </is>
      </c>
      <c r="D5" s="77" t="inlineStr">
        <is>
          <t>Expected</t>
        </is>
      </c>
      <c r="E5" s="77" t="inlineStr">
        <is>
          <t>Due date</t>
        </is>
      </c>
      <c r="F5" s="77" t="inlineStr">
        <is>
          <t>Seen this month</t>
        </is>
      </c>
      <c r="G5" s="77" t="inlineStr">
        <is>
          <t>Status</t>
        </is>
      </c>
      <c r="H5" s="77" t="inlineStr">
        <is>
          <t>Paid</t>
        </is>
      </c>
      <c r="I5" s="77" t="inlineStr">
        <is>
          <t>Progress</t>
        </is>
      </c>
      <c r="J5" s="77" t="inlineStr">
        <is>
          <t>Note</t>
        </is>
      </c>
    </row>
    <row r="6">
      <c r="B6" s="30" t="inlineStr">
        <is>
          <t>Rent</t>
        </is>
      </c>
      <c r="C6" s="33" t="inlineStr">
        <is>
          <t>Regular</t>
        </is>
      </c>
      <c r="D6" s="63" t="n">
        <v>14000</v>
      </c>
      <c r="E6" s="64" t="n">
        <v>46298</v>
      </c>
      <c r="F6" s="56">
        <f>SUMIFS(Ledger!$F$2:$F$200,Ledger!$I$2:$I$200,B6,Ledger!$H$2:$H$200,C6,Ledger!$B$2:$B$200,"&gt;="&amp;About!$C$5,Ledger!$B$2:$B$200,"&lt;="&amp;About!$C$6)</f>
        <v/>
      </c>
      <c r="G6" s="30">
        <f>IF(F6&gt;0,"Seen",IF(E6&gt;About!$C$6,"Next month",IF(E6&lt;About!$C$4,"No SMS yet","Expected")))</f>
        <v/>
      </c>
      <c r="H6" s="34" t="n"/>
      <c r="I6" s="34" t="n"/>
      <c r="J6" s="66" t="inlineStr"/>
    </row>
    <row r="7">
      <c r="B7" s="30" t="inlineStr">
        <is>
          <t>SIP</t>
        </is>
      </c>
      <c r="C7" s="33" t="inlineStr">
        <is>
          <t>Regular</t>
        </is>
      </c>
      <c r="D7" s="63" t="n">
        <v>8000</v>
      </c>
      <c r="E7" s="64" t="n">
        <v>46300</v>
      </c>
      <c r="F7" s="56">
        <f>SUMIFS(Ledger!$F$2:$F$200,Ledger!$I$2:$I$200,B7,Ledger!$H$2:$H$200,C7,Ledger!$B$2:$B$200,"&gt;="&amp;About!$C$5,Ledger!$B$2:$B$200,"&lt;="&amp;About!$C$6)</f>
        <v/>
      </c>
      <c r="G7" s="30">
        <f>IF(F7&gt;0,"Seen",IF(E7&gt;About!$C$6,"Next month",IF(E7&lt;About!$C$4,"No SMS yet","Expected")))</f>
        <v/>
      </c>
      <c r="H7" s="34" t="n"/>
      <c r="I7" s="34" t="n"/>
      <c r="J7" s="66" t="inlineStr">
        <is>
          <t>Investment, not spending on other reports</t>
        </is>
      </c>
    </row>
    <row r="8">
      <c r="B8" s="30" t="inlineStr">
        <is>
          <t>Claude subscription</t>
        </is>
      </c>
      <c r="C8" s="33" t="inlineStr">
        <is>
          <t>Regular</t>
        </is>
      </c>
      <c r="D8" s="63" t="n">
        <v>2400</v>
      </c>
      <c r="E8" s="64" t="n">
        <v>46299</v>
      </c>
      <c r="F8" s="56">
        <f>SUMIFS(Ledger!$F$2:$F$200,Ledger!$I$2:$I$200,B8,Ledger!$H$2:$H$200,C8,Ledger!$B$2:$B$200,"&gt;="&amp;About!$C$5,Ledger!$B$2:$B$200,"&lt;="&amp;About!$C$6)</f>
        <v/>
      </c>
      <c r="G8" s="30">
        <f>IF(F8&gt;0,"Seen",IF(E8&gt;About!$C$6,"Next month",IF(E8&lt;About!$C$4,"No SMS yet","Expected")))</f>
        <v/>
      </c>
      <c r="H8" s="34" t="n"/>
      <c r="I8" s="34" t="n"/>
      <c r="J8" s="66" t="inlineStr"/>
    </row>
    <row r="9">
      <c r="B9" s="30" t="inlineStr">
        <is>
          <t>TV EMI</t>
        </is>
      </c>
      <c r="C9" s="33" t="inlineStr">
        <is>
          <t>EMI</t>
        </is>
      </c>
      <c r="D9" s="63" t="n">
        <v>5000</v>
      </c>
      <c r="E9" s="64" t="n">
        <v>46303</v>
      </c>
      <c r="F9" s="56">
        <f>SUMIFS(Ledger!$F$2:$F$200,Ledger!$I$2:$I$200,B9,Ledger!$H$2:$H$200,C9,Ledger!$B$2:$B$200,"&gt;="&amp;About!$C$5,Ledger!$B$2:$B$200,"&lt;="&amp;About!$C$6)</f>
        <v/>
      </c>
      <c r="G9" s="30">
        <f>IF(F9&gt;0,"Seen",IF(E9&gt;About!$C$6,"Next month",IF(E9&lt;About!$C$4,"No SMS yet","Expected")))</f>
        <v/>
      </c>
      <c r="H9" s="33">
        <f>"3 of 12"</f>
        <v/>
      </c>
      <c r="I9" s="36">
        <f>REPT("█",3)&amp;REPT("░",12-3)</f>
        <v/>
      </c>
      <c r="J9" s="66" t="inlineStr">
        <is>
          <t>On ICICI card</t>
        </is>
      </c>
    </row>
    <row r="10">
      <c r="B10" s="30" t="inlineStr">
        <is>
          <t>Gym</t>
        </is>
      </c>
      <c r="C10" s="33" t="inlineStr">
        <is>
          <t>Regular</t>
        </is>
      </c>
      <c r="D10" s="63" t="n">
        <v>1200</v>
      </c>
      <c r="E10" s="64" t="n">
        <v>46320</v>
      </c>
      <c r="F10" s="56">
        <f>SUMIFS(Ledger!$F$2:$F$200,Ledger!$I$2:$I$200,B10,Ledger!$H$2:$H$200,C10,Ledger!$B$2:$B$200,"&gt;="&amp;About!$C$5,Ledger!$B$2:$B$200,"&lt;="&amp;About!$C$6)</f>
        <v/>
      </c>
      <c r="G10" s="30">
        <f>IF(F10&gt;0,"Seen",IF(E10&gt;About!$C$6,"Next month",IF(E10&lt;About!$C$4,"No SMS yet","Expected")))</f>
        <v/>
      </c>
      <c r="H10" s="34" t="n"/>
      <c r="I10" s="34" t="n"/>
      <c r="J10" s="66" t="inlineStr">
        <is>
          <t>Defined by you, no SMS arrives for it</t>
        </is>
      </c>
    </row>
    <row r="11">
      <c r="B11" s="30" t="inlineStr">
        <is>
          <t>Term insurance (ICICI Life)</t>
        </is>
      </c>
      <c r="C11" s="33" t="inlineStr">
        <is>
          <t>Regular</t>
        </is>
      </c>
      <c r="D11" s="63" t="n">
        <v>1999</v>
      </c>
      <c r="E11" s="64" t="n">
        <v>46339</v>
      </c>
      <c r="F11" s="56">
        <f>SUMIFS(Ledger!$F$2:$F$200,Ledger!$I$2:$I$200,B11,Ledger!$H$2:$H$200,C11,Ledger!$B$2:$B$200,"&gt;="&amp;About!$C$5,Ledger!$B$2:$B$200,"&lt;="&amp;About!$C$6)</f>
        <v/>
      </c>
      <c r="G11" s="30">
        <f>IF(F11&gt;0,"Seen",IF(E11&gt;About!$C$6,"Next month",IF(E11&lt;About!$C$4,"No SMS yet","Expected")))</f>
        <v/>
      </c>
      <c r="H11" s="34" t="n"/>
      <c r="I11" s="34" t="n"/>
      <c r="J11" s="66" t="inlineStr">
        <is>
          <t>Premium notice seen; due date from SMS</t>
        </is>
      </c>
    </row>
  </sheetData>
  <mergeCells count="1">
    <mergeCell ref="B1:J2"/>
  </mergeCells>
  <conditionalFormatting sqref="G6:G11">
    <cfRule type="expression" priority="1" dxfId="6">
      <formula>$G6="Seen"</formula>
    </cfRule>
    <cfRule type="expression" priority="2" dxfId="5">
      <formula>$G6="No SMS yet"</formula>
    </cfRule>
    <cfRule type="expression" priority="3" dxfId="7">
      <formula>$G6="Expected"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N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1" customWidth="1" min="4" max="4"/>
    <col width="10" customWidth="1" min="5" max="5"/>
    <col width="14" customWidth="1" min="6" max="6"/>
    <col width="15" customWidth="1" min="7" max="7"/>
    <col width="17" customWidth="1" min="8" max="8"/>
    <col width="28" customWidth="1" min="9" max="9"/>
    <col width="24" customWidth="1" min="10" max="10"/>
    <col width="10" customWidth="1" min="11" max="11"/>
    <col width="26" customWidth="1" min="12" max="12"/>
    <col width="17" customWidth="1" min="13" max="13"/>
    <col width="15" customWidth="1" min="14" max="14"/>
  </cols>
  <sheetData>
    <row r="1" ht="24" customHeight="1">
      <c r="A1" s="27" t="inlineStr">
        <is>
          <t>ID</t>
        </is>
      </c>
      <c r="B1" s="27" t="inlineStr">
        <is>
          <t>Date</t>
        </is>
      </c>
      <c r="C1" s="27" t="inlineStr">
        <is>
          <t>Account</t>
        </is>
      </c>
      <c r="D1" s="27" t="inlineStr">
        <is>
          <t>Type</t>
        </is>
      </c>
      <c r="E1" s="27" t="inlineStr">
        <is>
          <t>Direction</t>
        </is>
      </c>
      <c r="F1" s="27" t="inlineStr">
        <is>
          <t>Amount</t>
        </is>
      </c>
      <c r="G1" s="27" t="inlineStr">
        <is>
          <t>Kind</t>
        </is>
      </c>
      <c r="H1" s="27" t="inlineStr">
        <is>
          <t>Block</t>
        </is>
      </c>
      <c r="I1" s="27" t="inlineStr">
        <is>
          <t>Reason</t>
        </is>
      </c>
      <c r="J1" s="27" t="inlineStr">
        <is>
          <t>Counterparty / UPI id</t>
        </is>
      </c>
      <c r="K1" s="27" t="inlineStr">
        <is>
          <t>UPI ref</t>
        </is>
      </c>
      <c r="L1" s="27" t="inlineStr">
        <is>
          <t>Note</t>
        </is>
      </c>
      <c r="M1" s="27" t="inlineStr">
        <is>
          <t>Settles card</t>
        </is>
      </c>
      <c r="N1" s="27" t="inlineStr">
        <is>
          <t>Counts as spend</t>
        </is>
      </c>
    </row>
    <row r="2">
      <c r="A2" s="66" t="inlineStr">
        <is>
          <t>L001</t>
        </is>
      </c>
      <c r="B2" s="73" t="n">
        <v>46296</v>
      </c>
      <c r="C2" s="33" t="inlineStr">
        <is>
          <t>HDFC ••7345</t>
        </is>
      </c>
      <c r="D2" s="33" t="inlineStr">
        <is>
          <t>Bank</t>
        </is>
      </c>
      <c r="E2" s="33" t="inlineStr">
        <is>
          <t>Credit</t>
        </is>
      </c>
      <c r="F2" s="63" t="n">
        <v>45333</v>
      </c>
      <c r="G2" s="33" t="inlineStr">
        <is>
          <t>Salary</t>
        </is>
      </c>
      <c r="H2" s="33" t="inlineStr">
        <is>
          <t>Income</t>
        </is>
      </c>
      <c r="I2" s="33" t="inlineStr">
        <is>
          <t>Salary</t>
        </is>
      </c>
      <c r="J2" s="33" t="inlineStr">
        <is>
          <t>Example Employer</t>
        </is>
      </c>
      <c r="K2" s="33" t="inlineStr"/>
      <c r="L2" s="33" t="inlineStr"/>
      <c r="M2" s="33" t="inlineStr"/>
      <c r="N2" s="56">
        <f>IF(OR(H2="CC Spend",H2="Bank Spend",H2="Regular",H2="EMI"),IF(E2="Debit",F2,-F2),0)</f>
        <v/>
      </c>
    </row>
    <row r="3">
      <c r="A3" s="66" t="inlineStr">
        <is>
          <t>L002</t>
        </is>
      </c>
      <c r="B3" s="73" t="n">
        <v>46296</v>
      </c>
      <c r="C3" s="33" t="inlineStr">
        <is>
          <t>HDFC ••7345</t>
        </is>
      </c>
      <c r="D3" s="33" t="inlineStr">
        <is>
          <t>Bank</t>
        </is>
      </c>
      <c r="E3" s="33" t="inlineStr">
        <is>
          <t>Debit</t>
        </is>
      </c>
      <c r="F3" s="63" t="n">
        <v>12000</v>
      </c>
      <c r="G3" s="33" t="inlineStr">
        <is>
          <t>Transfer</t>
        </is>
      </c>
      <c r="H3" s="33" t="inlineStr">
        <is>
          <t>Transfer</t>
        </is>
      </c>
      <c r="I3" s="33" t="inlineStr">
        <is>
          <t>To own account</t>
        </is>
      </c>
      <c r="J3" s="33" t="inlineStr">
        <is>
          <t>Kotak ••2126</t>
        </is>
      </c>
      <c r="K3" s="33" t="inlineStr">
        <is>
          <t>U-1001</t>
        </is>
      </c>
      <c r="L3" s="33" t="inlineStr"/>
      <c r="M3" s="33" t="inlineStr"/>
      <c r="N3" s="56">
        <f>IF(OR(H3="CC Spend",H3="Bank Spend",H3="Regular",H3="EMI"),IF(E3="Debit",F3,-F3),0)</f>
        <v/>
      </c>
    </row>
    <row r="4">
      <c r="A4" s="66" t="inlineStr">
        <is>
          <t>L003</t>
        </is>
      </c>
      <c r="B4" s="73" t="n">
        <v>46296</v>
      </c>
      <c r="C4" s="33" t="inlineStr">
        <is>
          <t>Kotak ••2126</t>
        </is>
      </c>
      <c r="D4" s="33" t="inlineStr">
        <is>
          <t>Bank</t>
        </is>
      </c>
      <c r="E4" s="33" t="inlineStr">
        <is>
          <t>Credit</t>
        </is>
      </c>
      <c r="F4" s="63" t="n">
        <v>12000</v>
      </c>
      <c r="G4" s="33" t="inlineStr">
        <is>
          <t>Transfer</t>
        </is>
      </c>
      <c r="H4" s="33" t="inlineStr">
        <is>
          <t>Transfer</t>
        </is>
      </c>
      <c r="I4" s="33" t="inlineStr">
        <is>
          <t>From own account</t>
        </is>
      </c>
      <c r="J4" s="33" t="inlineStr">
        <is>
          <t>HDFC ••7345</t>
        </is>
      </c>
      <c r="K4" s="33" t="inlineStr">
        <is>
          <t>U-1001</t>
        </is>
      </c>
      <c r="L4" s="33" t="inlineStr"/>
      <c r="M4" s="33" t="inlineStr"/>
      <c r="N4" s="56">
        <f>IF(OR(H4="CC Spend",H4="Bank Spend",H4="Regular",H4="EMI"),IF(E4="Debit",F4,-F4),0)</f>
        <v/>
      </c>
    </row>
    <row r="5">
      <c r="A5" s="66" t="inlineStr">
        <is>
          <t>L004</t>
        </is>
      </c>
      <c r="B5" s="73" t="n">
        <v>46296</v>
      </c>
      <c r="C5" s="33" t="inlineStr">
        <is>
          <t>HDFC ••7345</t>
        </is>
      </c>
      <c r="D5" s="33" t="inlineStr">
        <is>
          <t>Bank</t>
        </is>
      </c>
      <c r="E5" s="33" t="inlineStr">
        <is>
          <t>Debit</t>
        </is>
      </c>
      <c r="F5" s="63" t="n">
        <v>5000</v>
      </c>
      <c r="G5" s="33" t="inlineStr">
        <is>
          <t>Transfer</t>
        </is>
      </c>
      <c r="H5" s="33" t="inlineStr">
        <is>
          <t>Transfer</t>
        </is>
      </c>
      <c r="I5" s="33" t="inlineStr">
        <is>
          <t>To own account</t>
        </is>
      </c>
      <c r="J5" s="33" t="inlineStr">
        <is>
          <t>Federal ••3268</t>
        </is>
      </c>
      <c r="K5" s="33" t="inlineStr">
        <is>
          <t>U-1002</t>
        </is>
      </c>
      <c r="L5" s="33" t="inlineStr"/>
      <c r="M5" s="33" t="inlineStr"/>
      <c r="N5" s="56">
        <f>IF(OR(H5="CC Spend",H5="Bank Spend",H5="Regular",H5="EMI"),IF(E5="Debit",F5,-F5),0)</f>
        <v/>
      </c>
    </row>
    <row r="6">
      <c r="A6" s="66" t="inlineStr">
        <is>
          <t>L005</t>
        </is>
      </c>
      <c r="B6" s="73" t="n">
        <v>46296</v>
      </c>
      <c r="C6" s="33" t="inlineStr">
        <is>
          <t>Federal ••3268</t>
        </is>
      </c>
      <c r="D6" s="33" t="inlineStr">
        <is>
          <t>Bank</t>
        </is>
      </c>
      <c r="E6" s="33" t="inlineStr">
        <is>
          <t>Credit</t>
        </is>
      </c>
      <c r="F6" s="63" t="n">
        <v>5000</v>
      </c>
      <c r="G6" s="33" t="inlineStr">
        <is>
          <t>Transfer</t>
        </is>
      </c>
      <c r="H6" s="33" t="inlineStr">
        <is>
          <t>Transfer</t>
        </is>
      </c>
      <c r="I6" s="33" t="inlineStr">
        <is>
          <t>From own account</t>
        </is>
      </c>
      <c r="J6" s="33" t="inlineStr">
        <is>
          <t>HDFC ••7345</t>
        </is>
      </c>
      <c r="K6" s="33" t="inlineStr">
        <is>
          <t>U-1002</t>
        </is>
      </c>
      <c r="L6" s="33" t="inlineStr"/>
      <c r="M6" s="33" t="inlineStr"/>
      <c r="N6" s="56">
        <f>IF(OR(H6="CC Spend",H6="Bank Spend",H6="Regular",H6="EMI"),IF(E6="Debit",F6,-F6),0)</f>
        <v/>
      </c>
    </row>
    <row r="7">
      <c r="A7" s="66" t="inlineStr">
        <is>
          <t>L006</t>
        </is>
      </c>
      <c r="B7" s="73" t="n">
        <v>46297</v>
      </c>
      <c r="C7" s="33" t="inlineStr">
        <is>
          <t>HDFC ••7345</t>
        </is>
      </c>
      <c r="D7" s="33" t="inlineStr">
        <is>
          <t>Bank</t>
        </is>
      </c>
      <c r="E7" s="33" t="inlineStr">
        <is>
          <t>Debit</t>
        </is>
      </c>
      <c r="F7" s="63" t="n">
        <v>3000</v>
      </c>
      <c r="G7" s="33" t="inlineStr">
        <is>
          <t>Transfer</t>
        </is>
      </c>
      <c r="H7" s="33" t="inlineStr">
        <is>
          <t>Transfer</t>
        </is>
      </c>
      <c r="I7" s="33" t="inlineStr">
        <is>
          <t>To own account</t>
        </is>
      </c>
      <c r="J7" s="33" t="inlineStr">
        <is>
          <t>CUB ••1756</t>
        </is>
      </c>
      <c r="K7" s="33" t="inlineStr">
        <is>
          <t>U-1003</t>
        </is>
      </c>
      <c r="L7" s="33" t="inlineStr"/>
      <c r="M7" s="33" t="inlineStr"/>
      <c r="N7" s="56">
        <f>IF(OR(H7="CC Spend",H7="Bank Spend",H7="Regular",H7="EMI"),IF(E7="Debit",F7,-F7),0)</f>
        <v/>
      </c>
    </row>
    <row r="8">
      <c r="A8" s="66" t="inlineStr">
        <is>
          <t>L007</t>
        </is>
      </c>
      <c r="B8" s="73" t="n">
        <v>46297</v>
      </c>
      <c r="C8" s="33" t="inlineStr">
        <is>
          <t>CUB ••1756</t>
        </is>
      </c>
      <c r="D8" s="33" t="inlineStr">
        <is>
          <t>Bank</t>
        </is>
      </c>
      <c r="E8" s="33" t="inlineStr">
        <is>
          <t>Credit</t>
        </is>
      </c>
      <c r="F8" s="63" t="n">
        <v>3000</v>
      </c>
      <c r="G8" s="33" t="inlineStr">
        <is>
          <t>Transfer</t>
        </is>
      </c>
      <c r="H8" s="33" t="inlineStr">
        <is>
          <t>Transfer</t>
        </is>
      </c>
      <c r="I8" s="33" t="inlineStr">
        <is>
          <t>From own account</t>
        </is>
      </c>
      <c r="J8" s="33" t="inlineStr">
        <is>
          <t>HDFC ••7345</t>
        </is>
      </c>
      <c r="K8" s="33" t="inlineStr">
        <is>
          <t>U-1003</t>
        </is>
      </c>
      <c r="L8" s="33" t="inlineStr"/>
      <c r="M8" s="33" t="inlineStr"/>
      <c r="N8" s="56">
        <f>IF(OR(H8="CC Spend",H8="Bank Spend",H8="Regular",H8="EMI"),IF(E8="Debit",F8,-F8),0)</f>
        <v/>
      </c>
    </row>
    <row r="9">
      <c r="A9" s="66" t="inlineStr">
        <is>
          <t>L008</t>
        </is>
      </c>
      <c r="B9" s="73" t="n">
        <v>46297</v>
      </c>
      <c r="C9" s="33" t="inlineStr">
        <is>
          <t>ICICI CC ••9000</t>
        </is>
      </c>
      <c r="D9" s="33" t="inlineStr">
        <is>
          <t>Credit card</t>
        </is>
      </c>
      <c r="E9" s="33" t="inlineStr">
        <is>
          <t>Debit</t>
        </is>
      </c>
      <c r="F9" s="63" t="n">
        <v>450</v>
      </c>
      <c r="G9" s="33" t="inlineStr">
        <is>
          <t>Purchase</t>
        </is>
      </c>
      <c r="H9" s="33" t="inlineStr">
        <is>
          <t>CC Spend</t>
        </is>
      </c>
      <c r="I9" s="33" t="inlineStr">
        <is>
          <t>SWIGGY</t>
        </is>
      </c>
      <c r="J9" s="33" t="inlineStr">
        <is>
          <t>SWIGGY</t>
        </is>
      </c>
      <c r="K9" s="33" t="inlineStr">
        <is>
          <t>U-2001</t>
        </is>
      </c>
      <c r="L9" s="33" t="inlineStr"/>
      <c r="M9" s="33" t="inlineStr"/>
      <c r="N9" s="56">
        <f>IF(OR(H9="CC Spend",H9="Bank Spend",H9="Regular",H9="EMI"),IF(E9="Debit",F9,-F9),0)</f>
        <v/>
      </c>
    </row>
    <row r="10">
      <c r="A10" s="66" t="inlineStr">
        <is>
          <t>L009</t>
        </is>
      </c>
      <c r="B10" s="73" t="n">
        <v>46298</v>
      </c>
      <c r="C10" s="33" t="inlineStr">
        <is>
          <t>HDFC ••7345</t>
        </is>
      </c>
      <c r="D10" s="33" t="inlineStr">
        <is>
          <t>Bank</t>
        </is>
      </c>
      <c r="E10" s="33" t="inlineStr">
        <is>
          <t>Debit</t>
        </is>
      </c>
      <c r="F10" s="63" t="n">
        <v>14000</v>
      </c>
      <c r="G10" s="33" t="inlineStr">
        <is>
          <t>Regular</t>
        </is>
      </c>
      <c r="H10" s="33" t="inlineStr">
        <is>
          <t>Regular</t>
        </is>
      </c>
      <c r="I10" s="33" t="inlineStr">
        <is>
          <t>Rent</t>
        </is>
      </c>
      <c r="J10" s="33" t="inlineStr">
        <is>
          <t>Landlord</t>
        </is>
      </c>
      <c r="K10" s="33" t="inlineStr"/>
      <c r="L10" s="33" t="inlineStr"/>
      <c r="M10" s="33" t="inlineStr"/>
      <c r="N10" s="56">
        <f>IF(OR(H10="CC Spend",H10="Bank Spend",H10="Regular",H10="EMI"),IF(E10="Debit",F10,-F10),0)</f>
        <v/>
      </c>
    </row>
    <row r="11">
      <c r="A11" s="66" t="inlineStr">
        <is>
          <t>L010</t>
        </is>
      </c>
      <c r="B11" s="73" t="n">
        <v>46298</v>
      </c>
      <c r="C11" s="33" t="inlineStr">
        <is>
          <t>Kotak ••2126</t>
        </is>
      </c>
      <c r="D11" s="33" t="inlineStr">
        <is>
          <t>Bank</t>
        </is>
      </c>
      <c r="E11" s="33" t="inlineStr">
        <is>
          <t>Debit</t>
        </is>
      </c>
      <c r="F11" s="63" t="n">
        <v>210</v>
      </c>
      <c r="G11" s="33" t="inlineStr">
        <is>
          <t>Purchase</t>
        </is>
      </c>
      <c r="H11" s="33" t="inlineStr">
        <is>
          <t>Bank Spend</t>
        </is>
      </c>
      <c r="I11" s="33" t="inlineStr">
        <is>
          <t>CAFE MOCHA</t>
        </is>
      </c>
      <c r="J11" s="33" t="inlineStr">
        <is>
          <t>cafemocha@upi</t>
        </is>
      </c>
      <c r="K11" s="33" t="inlineStr">
        <is>
          <t>U-3001</t>
        </is>
      </c>
      <c r="L11" s="33" t="inlineStr"/>
      <c r="M11" s="33" t="inlineStr"/>
      <c r="N11" s="56">
        <f>IF(OR(H11="CC Spend",H11="Bank Spend",H11="Regular",H11="EMI"),IF(E11="Debit",F11,-F11),0)</f>
        <v/>
      </c>
    </row>
    <row r="12">
      <c r="A12" s="66" t="inlineStr">
        <is>
          <t>L011</t>
        </is>
      </c>
      <c r="B12" s="73" t="n">
        <v>46299</v>
      </c>
      <c r="C12" s="33" t="inlineStr">
        <is>
          <t>ICICI CC ••9000</t>
        </is>
      </c>
      <c r="D12" s="33" t="inlineStr">
        <is>
          <t>Credit card</t>
        </is>
      </c>
      <c r="E12" s="33" t="inlineStr">
        <is>
          <t>Debit</t>
        </is>
      </c>
      <c r="F12" s="63" t="n">
        <v>2400</v>
      </c>
      <c r="G12" s="33" t="inlineStr">
        <is>
          <t>Regular</t>
        </is>
      </c>
      <c r="H12" s="33" t="inlineStr">
        <is>
          <t>Regular</t>
        </is>
      </c>
      <c r="I12" s="33" t="inlineStr">
        <is>
          <t>Claude subscription</t>
        </is>
      </c>
      <c r="J12" s="33" t="inlineStr">
        <is>
          <t>Anthropic</t>
        </is>
      </c>
      <c r="K12" s="33" t="inlineStr"/>
      <c r="L12" s="33" t="inlineStr"/>
      <c r="M12" s="33" t="inlineStr"/>
      <c r="N12" s="56">
        <f>IF(OR(H12="CC Spend",H12="Bank Spend",H12="Regular",H12="EMI"),IF(E12="Debit",F12,-F12),0)</f>
        <v/>
      </c>
    </row>
    <row r="13">
      <c r="A13" s="66" t="inlineStr">
        <is>
          <t>L012</t>
        </is>
      </c>
      <c r="B13" s="73" t="n">
        <v>46300</v>
      </c>
      <c r="C13" s="33" t="inlineStr">
        <is>
          <t>HDFC ••7345</t>
        </is>
      </c>
      <c r="D13" s="33" t="inlineStr">
        <is>
          <t>Bank</t>
        </is>
      </c>
      <c r="E13" s="33" t="inlineStr">
        <is>
          <t>Debit</t>
        </is>
      </c>
      <c r="F13" s="63" t="n">
        <v>8000</v>
      </c>
      <c r="G13" s="33" t="inlineStr">
        <is>
          <t>Regular</t>
        </is>
      </c>
      <c r="H13" s="33" t="inlineStr">
        <is>
          <t>Regular</t>
        </is>
      </c>
      <c r="I13" s="33" t="inlineStr">
        <is>
          <t>SIP</t>
        </is>
      </c>
      <c r="J13" s="33" t="inlineStr">
        <is>
          <t>Example Mutual Fund</t>
        </is>
      </c>
      <c r="K13" s="33" t="inlineStr"/>
      <c r="L13" s="33" t="inlineStr"/>
      <c r="M13" s="33" t="inlineStr"/>
      <c r="N13" s="56">
        <f>IF(OR(H13="CC Spend",H13="Bank Spend",H13="Regular",H13="EMI"),IF(E13="Debit",F13,-F13),0)</f>
        <v/>
      </c>
    </row>
    <row r="14">
      <c r="A14" s="66" t="inlineStr">
        <is>
          <t>L013</t>
        </is>
      </c>
      <c r="B14" s="73" t="n">
        <v>46301</v>
      </c>
      <c r="C14" s="33" t="inlineStr">
        <is>
          <t>ICICI CC ••9000</t>
        </is>
      </c>
      <c r="D14" s="33" t="inlineStr">
        <is>
          <t>Credit card</t>
        </is>
      </c>
      <c r="E14" s="33" t="inlineStr">
        <is>
          <t>Debit</t>
        </is>
      </c>
      <c r="F14" s="63" t="n">
        <v>1299</v>
      </c>
      <c r="G14" s="33" t="inlineStr">
        <is>
          <t>Purchase</t>
        </is>
      </c>
      <c r="H14" s="33" t="inlineStr">
        <is>
          <t>CC Spend</t>
        </is>
      </c>
      <c r="I14" s="33" t="inlineStr">
        <is>
          <t>AMAZON</t>
        </is>
      </c>
      <c r="J14" s="33" t="inlineStr">
        <is>
          <t>AMAZON</t>
        </is>
      </c>
      <c r="K14" s="33" t="inlineStr">
        <is>
          <t>U-2002</t>
        </is>
      </c>
      <c r="L14" s="33" t="inlineStr"/>
      <c r="M14" s="33" t="inlineStr"/>
      <c r="N14" s="56">
        <f>IF(OR(H14="CC Spend",H14="Bank Spend",H14="Regular",H14="EMI"),IF(E14="Debit",F14,-F14),0)</f>
        <v/>
      </c>
    </row>
    <row r="15">
      <c r="A15" s="66" t="inlineStr">
        <is>
          <t>L014</t>
        </is>
      </c>
      <c r="B15" s="73" t="n">
        <v>46302</v>
      </c>
      <c r="C15" s="33" t="inlineStr">
        <is>
          <t>SBI CC ••8100</t>
        </is>
      </c>
      <c r="D15" s="33" t="inlineStr">
        <is>
          <t>Credit card</t>
        </is>
      </c>
      <c r="E15" s="33" t="inlineStr">
        <is>
          <t>Debit</t>
        </is>
      </c>
      <c r="F15" s="63" t="n">
        <v>2199</v>
      </c>
      <c r="G15" s="33" t="inlineStr">
        <is>
          <t>Purchase</t>
        </is>
      </c>
      <c r="H15" s="33" t="inlineStr">
        <is>
          <t>CC Spend</t>
        </is>
      </c>
      <c r="I15" s="33" t="inlineStr">
        <is>
          <t>MYNTRA</t>
        </is>
      </c>
      <c r="J15" s="33" t="inlineStr">
        <is>
          <t>MYNTRA</t>
        </is>
      </c>
      <c r="K15" s="33" t="inlineStr"/>
      <c r="L15" s="33" t="inlineStr"/>
      <c r="M15" s="33" t="inlineStr"/>
      <c r="N15" s="56">
        <f>IF(OR(H15="CC Spend",H15="Bank Spend",H15="Regular",H15="EMI"),IF(E15="Debit",F15,-F15),0)</f>
        <v/>
      </c>
    </row>
    <row r="16">
      <c r="A16" s="66" t="inlineStr">
        <is>
          <t>L015</t>
        </is>
      </c>
      <c r="B16" s="73" t="n">
        <v>46303</v>
      </c>
      <c r="C16" s="33" t="inlineStr">
        <is>
          <t>ICICI CC ••9000</t>
        </is>
      </c>
      <c r="D16" s="33" t="inlineStr">
        <is>
          <t>Credit card</t>
        </is>
      </c>
      <c r="E16" s="33" t="inlineStr">
        <is>
          <t>Debit</t>
        </is>
      </c>
      <c r="F16" s="63" t="n">
        <v>5000</v>
      </c>
      <c r="G16" s="33" t="inlineStr">
        <is>
          <t>EMI</t>
        </is>
      </c>
      <c r="H16" s="33" t="inlineStr">
        <is>
          <t>EMI</t>
        </is>
      </c>
      <c r="I16" s="33" t="inlineStr">
        <is>
          <t>TV EMI</t>
        </is>
      </c>
      <c r="J16" s="33" t="inlineStr">
        <is>
          <t>Example Retail</t>
        </is>
      </c>
      <c r="K16" s="33" t="inlineStr"/>
      <c r="L16" s="33" t="inlineStr">
        <is>
          <t>3 of 12</t>
        </is>
      </c>
      <c r="M16" s="33" t="inlineStr"/>
      <c r="N16" s="56">
        <f>IF(OR(H16="CC Spend",H16="Bank Spend",H16="Regular",H16="EMI"),IF(E16="Debit",F16,-F16),0)</f>
        <v/>
      </c>
    </row>
    <row r="17">
      <c r="A17" s="66" t="inlineStr">
        <is>
          <t>L016</t>
        </is>
      </c>
      <c r="B17" s="73" t="n">
        <v>46304</v>
      </c>
      <c r="C17" s="33" t="inlineStr">
        <is>
          <t>ICICI CC ••9000</t>
        </is>
      </c>
      <c r="D17" s="33" t="inlineStr">
        <is>
          <t>Credit card</t>
        </is>
      </c>
      <c r="E17" s="33" t="inlineStr">
        <is>
          <t>Debit</t>
        </is>
      </c>
      <c r="F17" s="63" t="n">
        <v>290</v>
      </c>
      <c r="G17" s="33" t="inlineStr">
        <is>
          <t>Purchase</t>
        </is>
      </c>
      <c r="H17" s="33" t="inlineStr">
        <is>
          <t>CC Spend</t>
        </is>
      </c>
      <c r="I17" s="33" t="inlineStr">
        <is>
          <t>SWASTIK</t>
        </is>
      </c>
      <c r="J17" s="33" t="inlineStr">
        <is>
          <t>SWASTIK</t>
        </is>
      </c>
      <c r="K17" s="33" t="inlineStr">
        <is>
          <t>U-2003</t>
        </is>
      </c>
      <c r="L17" s="33" t="inlineStr"/>
      <c r="M17" s="33" t="inlineStr"/>
      <c r="N17" s="56">
        <f>IF(OR(H17="CC Spend",H17="Bank Spend",H17="Regular",H17="EMI"),IF(E17="Debit",F17,-F17),0)</f>
        <v/>
      </c>
    </row>
    <row r="18">
      <c r="A18" s="66" t="inlineStr">
        <is>
          <t>L017</t>
        </is>
      </c>
      <c r="B18" s="73" t="n">
        <v>46305</v>
      </c>
      <c r="C18" s="33" t="inlineStr">
        <is>
          <t>Kotak ••2126</t>
        </is>
      </c>
      <c r="D18" s="33" t="inlineStr">
        <is>
          <t>Bank</t>
        </is>
      </c>
      <c r="E18" s="33" t="inlineStr">
        <is>
          <t>Debit</t>
        </is>
      </c>
      <c r="F18" s="63" t="n">
        <v>120</v>
      </c>
      <c r="G18" s="33" t="inlineStr">
        <is>
          <t>Purchase</t>
        </is>
      </c>
      <c r="H18" s="33" t="inlineStr">
        <is>
          <t>Bank Spend</t>
        </is>
      </c>
      <c r="I18" s="33" t="inlineStr">
        <is>
          <t>STATIONERY</t>
        </is>
      </c>
      <c r="J18" s="33" t="inlineStr">
        <is>
          <t>stationery@upi</t>
        </is>
      </c>
      <c r="K18" s="33" t="inlineStr">
        <is>
          <t>U-3002</t>
        </is>
      </c>
      <c r="L18" s="33" t="inlineStr"/>
      <c r="M18" s="33" t="inlineStr"/>
      <c r="N18" s="56">
        <f>IF(OR(H18="CC Spend",H18="Bank Spend",H18="Regular",H18="EMI"),IF(E18="Debit",F18,-F18),0)</f>
        <v/>
      </c>
    </row>
    <row r="19">
      <c r="A19" s="66" t="inlineStr">
        <is>
          <t>L018</t>
        </is>
      </c>
      <c r="B19" s="73" t="n">
        <v>46306</v>
      </c>
      <c r="C19" s="33" t="inlineStr">
        <is>
          <t>Federal ••3268</t>
        </is>
      </c>
      <c r="D19" s="33" t="inlineStr">
        <is>
          <t>Bank</t>
        </is>
      </c>
      <c r="E19" s="33" t="inlineStr">
        <is>
          <t>Debit</t>
        </is>
      </c>
      <c r="F19" s="63" t="n">
        <v>51</v>
      </c>
      <c r="G19" s="33" t="inlineStr">
        <is>
          <t>Purchase</t>
        </is>
      </c>
      <c r="H19" s="33" t="inlineStr">
        <is>
          <t>Bank Spend</t>
        </is>
      </c>
      <c r="I19" s="33" t="inlineStr">
        <is>
          <t>AUTO FARE</t>
        </is>
      </c>
      <c r="J19" s="33" t="inlineStr">
        <is>
          <t>paytmqr-0001@upi</t>
        </is>
      </c>
      <c r="K19" s="33" t="inlineStr">
        <is>
          <t>U-3003</t>
        </is>
      </c>
      <c r="L19" s="33" t="inlineStr"/>
      <c r="M19" s="33" t="inlineStr"/>
      <c r="N19" s="56">
        <f>IF(OR(H19="CC Spend",H19="Bank Spend",H19="Regular",H19="EMI"),IF(E19="Debit",F19,-F19),0)</f>
        <v/>
      </c>
    </row>
    <row r="20">
      <c r="A20" s="66" t="inlineStr">
        <is>
          <t>L019</t>
        </is>
      </c>
      <c r="B20" s="73" t="n">
        <v>46307</v>
      </c>
      <c r="C20" s="33" t="inlineStr">
        <is>
          <t>ICICI CC ••9000</t>
        </is>
      </c>
      <c r="D20" s="33" t="inlineStr">
        <is>
          <t>Credit card</t>
        </is>
      </c>
      <c r="E20" s="33" t="inlineStr">
        <is>
          <t>Debit</t>
        </is>
      </c>
      <c r="F20" s="63" t="n">
        <v>2000</v>
      </c>
      <c r="G20" s="33" t="inlineStr">
        <is>
          <t>Purchase</t>
        </is>
      </c>
      <c r="H20" s="33" t="inlineStr">
        <is>
          <t>CC Spend</t>
        </is>
      </c>
      <c r="I20" s="33" t="inlineStr">
        <is>
          <t>FUEL · INDIAN OIL</t>
        </is>
      </c>
      <c r="J20" s="33" t="inlineStr">
        <is>
          <t>INDIAN OIL</t>
        </is>
      </c>
      <c r="K20" s="33" t="inlineStr"/>
      <c r="L20" s="33" t="inlineStr"/>
      <c r="M20" s="33" t="inlineStr"/>
      <c r="N20" s="56">
        <f>IF(OR(H20="CC Spend",H20="Bank Spend",H20="Regular",H20="EMI"),IF(E20="Debit",F20,-F20),0)</f>
        <v/>
      </c>
    </row>
    <row r="21">
      <c r="A21" s="66" t="inlineStr">
        <is>
          <t>L020</t>
        </is>
      </c>
      <c r="B21" s="73" t="n">
        <v>46307</v>
      </c>
      <c r="C21" s="33" t="inlineStr">
        <is>
          <t>Kotak ••2126</t>
        </is>
      </c>
      <c r="D21" s="33" t="inlineStr">
        <is>
          <t>Bank</t>
        </is>
      </c>
      <c r="E21" s="33" t="inlineStr">
        <is>
          <t>Debit</t>
        </is>
      </c>
      <c r="F21" s="63" t="n">
        <v>3000</v>
      </c>
      <c r="G21" s="33" t="inlineStr">
        <is>
          <t>Person payment</t>
        </is>
      </c>
      <c r="H21" s="33">
        <f>IF('People &amp; Lent'!H7="Lent","Lent",IF('People &amp; Lent'!H7="Undecided","Undecided","Bank Spend"))</f>
        <v/>
      </c>
      <c r="I21" s="33" t="inlineStr">
        <is>
          <t>Payment to person</t>
        </is>
      </c>
      <c r="J21" s="33" t="inlineStr">
        <is>
          <t>DEEPAK S</t>
        </is>
      </c>
      <c r="K21" s="33" t="inlineStr">
        <is>
          <t>U-6001</t>
        </is>
      </c>
      <c r="L21" s="33">
        <f>IF('People &amp; Lent'!H7="Undecided","Needs review","")</f>
        <v/>
      </c>
      <c r="M21" s="33" t="inlineStr"/>
      <c r="N21" s="56">
        <f>IF(OR(H21="CC Spend",H21="Bank Spend",H21="Regular",H21="EMI"),IF(E21="Debit",F21,-F21),0)</f>
        <v/>
      </c>
    </row>
    <row r="22">
      <c r="A22" s="66" t="inlineStr">
        <is>
          <t>L021</t>
        </is>
      </c>
      <c r="B22" s="73" t="n">
        <v>46309</v>
      </c>
      <c r="C22" s="33" t="inlineStr">
        <is>
          <t>SBI CC ••8100</t>
        </is>
      </c>
      <c r="D22" s="33" t="inlineStr">
        <is>
          <t>Credit card</t>
        </is>
      </c>
      <c r="E22" s="33" t="inlineStr">
        <is>
          <t>Debit</t>
        </is>
      </c>
      <c r="F22" s="63" t="n">
        <v>410</v>
      </c>
      <c r="G22" s="33" t="inlineStr">
        <is>
          <t>Purchase</t>
        </is>
      </c>
      <c r="H22" s="33" t="inlineStr">
        <is>
          <t>CC Spend</t>
        </is>
      </c>
      <c r="I22" s="33" t="inlineStr">
        <is>
          <t>APOLLO PHARMACY</t>
        </is>
      </c>
      <c r="J22" s="33" t="inlineStr">
        <is>
          <t>APOLLO</t>
        </is>
      </c>
      <c r="K22" s="33" t="inlineStr"/>
      <c r="L22" s="33" t="inlineStr"/>
      <c r="M22" s="33" t="inlineStr"/>
      <c r="N22" s="56">
        <f>IF(OR(H22="CC Spend",H22="Bank Spend",H22="Regular",H22="EMI"),IF(E22="Debit",F22,-F22),0)</f>
        <v/>
      </c>
    </row>
    <row r="23">
      <c r="A23" s="66" t="inlineStr">
        <is>
          <t>L022</t>
        </is>
      </c>
      <c r="B23" s="73" t="n">
        <v>46310</v>
      </c>
      <c r="C23" s="33" t="inlineStr">
        <is>
          <t>ICICI CC ••9000</t>
        </is>
      </c>
      <c r="D23" s="33" t="inlineStr">
        <is>
          <t>Credit card</t>
        </is>
      </c>
      <c r="E23" s="33" t="inlineStr">
        <is>
          <t>Debit</t>
        </is>
      </c>
      <c r="F23" s="63" t="n">
        <v>220</v>
      </c>
      <c r="G23" s="33" t="inlineStr">
        <is>
          <t>Purchase</t>
        </is>
      </c>
      <c r="H23" s="33" t="inlineStr">
        <is>
          <t>CC Spend</t>
        </is>
      </c>
      <c r="I23" s="33" t="inlineStr">
        <is>
          <t>UBER</t>
        </is>
      </c>
      <c r="J23" s="33" t="inlineStr">
        <is>
          <t>UBER</t>
        </is>
      </c>
      <c r="K23" s="33" t="inlineStr">
        <is>
          <t>U-2004</t>
        </is>
      </c>
      <c r="L23" s="33" t="inlineStr"/>
      <c r="M23" s="33" t="inlineStr"/>
      <c r="N23" s="56">
        <f>IF(OR(H23="CC Spend",H23="Bank Spend",H23="Regular",H23="EMI"),IF(E23="Debit",F23,-F23),0)</f>
        <v/>
      </c>
    </row>
    <row r="24">
      <c r="A24" s="66" t="inlineStr">
        <is>
          <t>L023</t>
        </is>
      </c>
      <c r="B24" s="73" t="n">
        <v>46311</v>
      </c>
      <c r="C24" s="33" t="inlineStr">
        <is>
          <t>Federal ••3268</t>
        </is>
      </c>
      <c r="D24" s="33" t="inlineStr">
        <is>
          <t>Bank</t>
        </is>
      </c>
      <c r="E24" s="33" t="inlineStr">
        <is>
          <t>Debit</t>
        </is>
      </c>
      <c r="F24" s="63" t="n">
        <v>185</v>
      </c>
      <c r="G24" s="33" t="inlineStr">
        <is>
          <t>Purchase</t>
        </is>
      </c>
      <c r="H24" s="33" t="inlineStr">
        <is>
          <t>Bank Spend</t>
        </is>
      </c>
      <c r="I24" s="33" t="inlineStr">
        <is>
          <t>VEGETABLE MART</t>
        </is>
      </c>
      <c r="J24" s="33" t="inlineStr">
        <is>
          <t>vegmart@upi</t>
        </is>
      </c>
      <c r="K24" s="33" t="inlineStr">
        <is>
          <t>U-3004</t>
        </is>
      </c>
      <c r="L24" s="33" t="inlineStr"/>
      <c r="M24" s="33" t="inlineStr"/>
      <c r="N24" s="56">
        <f>IF(OR(H24="CC Spend",H24="Bank Spend",H24="Regular",H24="EMI"),IF(E24="Debit",F24,-F24),0)</f>
        <v/>
      </c>
    </row>
    <row r="25">
      <c r="A25" s="66" t="inlineStr">
        <is>
          <t>L024</t>
        </is>
      </c>
      <c r="B25" s="73" t="n">
        <v>46313</v>
      </c>
      <c r="C25" s="33" t="inlineStr">
        <is>
          <t>ICICI CC ••9000</t>
        </is>
      </c>
      <c r="D25" s="33" t="inlineStr">
        <is>
          <t>Credit card</t>
        </is>
      </c>
      <c r="E25" s="33" t="inlineStr">
        <is>
          <t>Debit</t>
        </is>
      </c>
      <c r="F25" s="63" t="n">
        <v>1326</v>
      </c>
      <c r="G25" s="33" t="inlineStr">
        <is>
          <t>Purchase</t>
        </is>
      </c>
      <c r="H25" s="33" t="inlineStr">
        <is>
          <t>CC Spend</t>
        </is>
      </c>
      <c r="I25" s="33" t="inlineStr">
        <is>
          <t>BIGBASKET</t>
        </is>
      </c>
      <c r="J25" s="33" t="inlineStr">
        <is>
          <t>BIGBASKET</t>
        </is>
      </c>
      <c r="K25" s="33" t="inlineStr">
        <is>
          <t>U-2005</t>
        </is>
      </c>
      <c r="L25" s="33" t="inlineStr"/>
      <c r="M25" s="33" t="inlineStr"/>
      <c r="N25" s="56">
        <f>IF(OR(H25="CC Spend",H25="Bank Spend",H25="Regular",H25="EMI"),IF(E25="Debit",F25,-F25),0)</f>
        <v/>
      </c>
    </row>
    <row r="26">
      <c r="A26" s="66" t="inlineStr">
        <is>
          <t>L025</t>
        </is>
      </c>
      <c r="B26" s="73" t="n">
        <v>46314</v>
      </c>
      <c r="C26" s="33" t="inlineStr">
        <is>
          <t>Federal ••3268</t>
        </is>
      </c>
      <c r="D26" s="33" t="inlineStr">
        <is>
          <t>Bank</t>
        </is>
      </c>
      <c r="E26" s="33" t="inlineStr">
        <is>
          <t>Debit</t>
        </is>
      </c>
      <c r="F26" s="63" t="n">
        <v>240</v>
      </c>
      <c r="G26" s="33" t="inlineStr">
        <is>
          <t>Purchase</t>
        </is>
      </c>
      <c r="H26" s="33" t="inlineStr">
        <is>
          <t>Bank Spend</t>
        </is>
      </c>
      <c r="I26" s="33" t="inlineStr">
        <is>
          <t>MEDPLUS</t>
        </is>
      </c>
      <c r="J26" s="33" t="inlineStr">
        <is>
          <t>medplus@upi</t>
        </is>
      </c>
      <c r="K26" s="33" t="inlineStr">
        <is>
          <t>U-3005</t>
        </is>
      </c>
      <c r="L26" s="33" t="inlineStr"/>
      <c r="M26" s="33" t="inlineStr"/>
      <c r="N26" s="56">
        <f>IF(OR(H26="CC Spend",H26="Bank Spend",H26="Regular",H26="EMI"),IF(E26="Debit",F26,-F26),0)</f>
        <v/>
      </c>
    </row>
    <row r="27">
      <c r="A27" s="66" t="inlineStr">
        <is>
          <t>L026</t>
        </is>
      </c>
      <c r="B27" s="73" t="n">
        <v>46315</v>
      </c>
      <c r="C27" s="33" t="inlineStr">
        <is>
          <t>Kotak ••2126</t>
        </is>
      </c>
      <c r="D27" s="33" t="inlineStr">
        <is>
          <t>Bank</t>
        </is>
      </c>
      <c r="E27" s="33" t="inlineStr">
        <is>
          <t>Credit</t>
        </is>
      </c>
      <c r="F27" s="63" t="n">
        <v>1000</v>
      </c>
      <c r="G27" s="33" t="inlineStr">
        <is>
          <t>Lent repayment</t>
        </is>
      </c>
      <c r="H27" s="33" t="inlineStr">
        <is>
          <t>Lent repayment</t>
        </is>
      </c>
      <c r="I27" s="33" t="inlineStr">
        <is>
          <t>Repaid</t>
        </is>
      </c>
      <c r="J27" s="33" t="inlineStr">
        <is>
          <t>DEEPAK S</t>
        </is>
      </c>
      <c r="K27" s="33" t="inlineStr">
        <is>
          <t>U-6002</t>
        </is>
      </c>
      <c r="L27" s="33" t="inlineStr"/>
      <c r="M27" s="33" t="inlineStr"/>
      <c r="N27" s="56">
        <f>IF(OR(H27="CC Spend",H27="Bank Spend",H27="Regular",H27="EMI"),IF(E27="Debit",F27,-F27),0)</f>
        <v/>
      </c>
    </row>
    <row r="28">
      <c r="A28" s="66" t="inlineStr">
        <is>
          <t>L027</t>
        </is>
      </c>
      <c r="B28" s="73" t="n">
        <v>46316</v>
      </c>
      <c r="C28" s="33" t="inlineStr">
        <is>
          <t>SBI CC ••8100</t>
        </is>
      </c>
      <c r="D28" s="33" t="inlineStr">
        <is>
          <t>Credit card</t>
        </is>
      </c>
      <c r="E28" s="33" t="inlineStr">
        <is>
          <t>Debit</t>
        </is>
      </c>
      <c r="F28" s="63" t="n">
        <v>515</v>
      </c>
      <c r="G28" s="33" t="inlineStr">
        <is>
          <t>Purchase</t>
        </is>
      </c>
      <c r="H28" s="33" t="inlineStr">
        <is>
          <t>CC Spend</t>
        </is>
      </c>
      <c r="I28" s="33" t="inlineStr">
        <is>
          <t>ZOMATO</t>
        </is>
      </c>
      <c r="J28" s="33" t="inlineStr">
        <is>
          <t>ZOMATO</t>
        </is>
      </c>
      <c r="K28" s="33" t="inlineStr"/>
      <c r="L28" s="33" t="inlineStr"/>
      <c r="M28" s="33" t="inlineStr"/>
      <c r="N28" s="56">
        <f>IF(OR(H28="CC Spend",H28="Bank Spend",H28="Regular",H28="EMI"),IF(E28="Debit",F28,-F28),0)</f>
        <v/>
      </c>
    </row>
    <row r="29">
      <c r="A29" s="66" t="inlineStr">
        <is>
          <t>L028</t>
        </is>
      </c>
      <c r="B29" s="73" t="n">
        <v>46317</v>
      </c>
      <c r="C29" s="33" t="inlineStr">
        <is>
          <t>CUB ••1756</t>
        </is>
      </c>
      <c r="D29" s="33" t="inlineStr">
        <is>
          <t>Bank</t>
        </is>
      </c>
      <c r="E29" s="33" t="inlineStr">
        <is>
          <t>Debit</t>
        </is>
      </c>
      <c r="F29" s="63" t="n">
        <v>1100</v>
      </c>
      <c r="G29" s="33" t="inlineStr">
        <is>
          <t>Purchase</t>
        </is>
      </c>
      <c r="H29" s="33" t="inlineStr">
        <is>
          <t>Bank Spend</t>
        </is>
      </c>
      <c r="I29" s="33" t="inlineStr">
        <is>
          <t>ELECTRICITY BOARD</t>
        </is>
      </c>
      <c r="J29" s="33" t="inlineStr">
        <is>
          <t>EB</t>
        </is>
      </c>
      <c r="K29" s="33" t="inlineStr">
        <is>
          <t>U-3006</t>
        </is>
      </c>
      <c r="L29" s="33" t="inlineStr"/>
      <c r="M29" s="33" t="inlineStr"/>
      <c r="N29" s="56">
        <f>IF(OR(H29="CC Spend",H29="Bank Spend",H29="Regular",H29="EMI"),IF(E29="Debit",F29,-F29),0)</f>
        <v/>
      </c>
    </row>
    <row r="30">
      <c r="A30" s="66" t="inlineStr">
        <is>
          <t>L029</t>
        </is>
      </c>
      <c r="B30" s="73" t="n">
        <v>46319</v>
      </c>
      <c r="C30" s="33" t="inlineStr">
        <is>
          <t>Kotak ••2126</t>
        </is>
      </c>
      <c r="D30" s="33" t="inlineStr">
        <is>
          <t>Bank</t>
        </is>
      </c>
      <c r="E30" s="33" t="inlineStr">
        <is>
          <t>Debit</t>
        </is>
      </c>
      <c r="F30" s="63" t="n">
        <v>800</v>
      </c>
      <c r="G30" s="33" t="inlineStr">
        <is>
          <t>Person payment</t>
        </is>
      </c>
      <c r="H30" s="33">
        <f>IF('People &amp; Lent'!H8="Lent","Lent",IF('People &amp; Lent'!H8="Undecided","Undecided","Bank Spend"))</f>
        <v/>
      </c>
      <c r="I30" s="33" t="inlineStr">
        <is>
          <t>Payment to person</t>
        </is>
      </c>
      <c r="J30" s="33" t="inlineStr">
        <is>
          <t>ANITA R</t>
        </is>
      </c>
      <c r="K30" s="33" t="inlineStr">
        <is>
          <t>U-6003</t>
        </is>
      </c>
      <c r="L30" s="33">
        <f>IF('People &amp; Lent'!H8="Undecided","Needs review","")</f>
        <v/>
      </c>
      <c r="M30" s="33" t="inlineStr"/>
      <c r="N30" s="56">
        <f>IF(OR(H30="CC Spend",H30="Bank Spend",H30="Regular",H30="EMI"),IF(E30="Debit",F30,-F30),0)</f>
        <v/>
      </c>
    </row>
    <row r="31">
      <c r="A31" s="66" t="inlineStr">
        <is>
          <t>L030</t>
        </is>
      </c>
      <c r="B31" s="73" t="n">
        <v>46321</v>
      </c>
      <c r="C31" s="33" t="inlineStr">
        <is>
          <t>SBI CC ••8100</t>
        </is>
      </c>
      <c r="D31" s="33" t="inlineStr">
        <is>
          <t>Credit card</t>
        </is>
      </c>
      <c r="E31" s="33" t="inlineStr">
        <is>
          <t>Debit</t>
        </is>
      </c>
      <c r="F31" s="63" t="n">
        <v>1053</v>
      </c>
      <c r="G31" s="33" t="inlineStr">
        <is>
          <t>Purchase</t>
        </is>
      </c>
      <c r="H31" s="33" t="inlineStr">
        <is>
          <t>CC Spend</t>
        </is>
      </c>
      <c r="I31" s="33" t="inlineStr">
        <is>
          <t>DMART</t>
        </is>
      </c>
      <c r="J31" s="33" t="inlineStr">
        <is>
          <t>DMART</t>
        </is>
      </c>
      <c r="K31" s="33" t="inlineStr"/>
      <c r="L31" s="33" t="inlineStr"/>
      <c r="M31" s="33" t="inlineStr"/>
      <c r="N31" s="56">
        <f>IF(OR(H31="CC Spend",H31="Bank Spend",H31="Regular",H31="EMI"),IF(E31="Debit",F31,-F31),0)</f>
        <v/>
      </c>
    </row>
    <row r="32">
      <c r="A32" s="66" t="inlineStr">
        <is>
          <t>L031</t>
        </is>
      </c>
      <c r="B32" s="73" t="n">
        <v>46322</v>
      </c>
      <c r="C32" s="33" t="inlineStr">
        <is>
          <t>ICICI CC ••9000</t>
        </is>
      </c>
      <c r="D32" s="33" t="inlineStr">
        <is>
          <t>Credit card</t>
        </is>
      </c>
      <c r="E32" s="33" t="inlineStr">
        <is>
          <t>Debit</t>
        </is>
      </c>
      <c r="F32" s="63" t="n">
        <v>640</v>
      </c>
      <c r="G32" s="33" t="inlineStr">
        <is>
          <t>Purchase</t>
        </is>
      </c>
      <c r="H32" s="33" t="inlineStr">
        <is>
          <t>CC Spend</t>
        </is>
      </c>
      <c r="I32" s="33" t="inlineStr">
        <is>
          <t>BOOKMYSHOW</t>
        </is>
      </c>
      <c r="J32" s="33" t="inlineStr">
        <is>
          <t>BOOKMYSHOW</t>
        </is>
      </c>
      <c r="K32" s="33" t="inlineStr">
        <is>
          <t>U-2006</t>
        </is>
      </c>
      <c r="L32" s="33" t="inlineStr"/>
      <c r="M32" s="33" t="inlineStr"/>
      <c r="N32" s="56">
        <f>IF(OR(H32="CC Spend",H32="Bank Spend",H32="Regular",H32="EMI"),IF(E32="Debit",F32,-F32),0)</f>
        <v/>
      </c>
    </row>
    <row r="33">
      <c r="A33" s="66" t="inlineStr">
        <is>
          <t>L032</t>
        </is>
      </c>
      <c r="B33" s="73" t="n">
        <v>46323</v>
      </c>
      <c r="C33" s="33" t="inlineStr">
        <is>
          <t>Federal ••3268</t>
        </is>
      </c>
      <c r="D33" s="33" t="inlineStr">
        <is>
          <t>Bank</t>
        </is>
      </c>
      <c r="E33" s="33" t="inlineStr">
        <is>
          <t>Debit</t>
        </is>
      </c>
      <c r="F33" s="63" t="n">
        <v>2500</v>
      </c>
      <c r="G33" s="33" t="inlineStr">
        <is>
          <t>Person payment</t>
        </is>
      </c>
      <c r="H33" s="33">
        <f>IF('People &amp; Lent'!H9="Lent","Lent",IF('People &amp; Lent'!H9="Undecided","Undecided","Bank Spend"))</f>
        <v/>
      </c>
      <c r="I33" s="33" t="inlineStr">
        <is>
          <t>Payment to person</t>
        </is>
      </c>
      <c r="J33" s="33" t="inlineStr">
        <is>
          <t>MEERA K</t>
        </is>
      </c>
      <c r="K33" s="33" t="inlineStr">
        <is>
          <t>U-6004</t>
        </is>
      </c>
      <c r="L33" s="33">
        <f>IF('People &amp; Lent'!H9="Undecided","Needs review","")</f>
        <v/>
      </c>
      <c r="M33" s="33" t="inlineStr"/>
      <c r="N33" s="56">
        <f>IF(OR(H33="CC Spend",H33="Bank Spend",H33="Regular",H33="EMI"),IF(E33="Debit",F33,-F33),0)</f>
        <v/>
      </c>
    </row>
    <row r="34">
      <c r="A34" s="66" t="inlineStr">
        <is>
          <t>L033</t>
        </is>
      </c>
      <c r="B34" s="73" t="n">
        <v>46324</v>
      </c>
      <c r="C34" s="33" t="inlineStr">
        <is>
          <t>Federal ••3268</t>
        </is>
      </c>
      <c r="D34" s="33" t="inlineStr">
        <is>
          <t>Bank</t>
        </is>
      </c>
      <c r="E34" s="33" t="inlineStr">
        <is>
          <t>Debit</t>
        </is>
      </c>
      <c r="F34" s="63" t="n">
        <v>120</v>
      </c>
      <c r="G34" s="33" t="inlineStr">
        <is>
          <t>Purchase</t>
        </is>
      </c>
      <c r="H34" s="33" t="inlineStr">
        <is>
          <t>Bank Spend</t>
        </is>
      </c>
      <c r="I34" s="33" t="inlineStr">
        <is>
          <t>TEA STALL</t>
        </is>
      </c>
      <c r="J34" s="33" t="inlineStr">
        <is>
          <t>teastall@upi</t>
        </is>
      </c>
      <c r="K34" s="33" t="inlineStr">
        <is>
          <t>U-3007</t>
        </is>
      </c>
      <c r="L34" s="33" t="inlineStr"/>
      <c r="M34" s="33" t="inlineStr"/>
      <c r="N34" s="56">
        <f>IF(OR(H34="CC Spend",H34="Bank Spend",H34="Regular",H34="EMI"),IF(E34="Debit",F34,-F34),0)</f>
        <v/>
      </c>
    </row>
    <row r="35">
      <c r="A35" s="66" t="inlineStr">
        <is>
          <t>L034</t>
        </is>
      </c>
      <c r="B35" s="73" t="n">
        <v>46324</v>
      </c>
      <c r="C35" s="33" t="inlineStr">
        <is>
          <t>Federal ••3268</t>
        </is>
      </c>
      <c r="D35" s="33" t="inlineStr">
        <is>
          <t>Bank</t>
        </is>
      </c>
      <c r="E35" s="33" t="inlineStr">
        <is>
          <t>Credit</t>
        </is>
      </c>
      <c r="F35" s="63" t="n">
        <v>22695</v>
      </c>
      <c r="G35" s="33" t="inlineStr">
        <is>
          <t>Other credit</t>
        </is>
      </c>
      <c r="H35" s="33" t="inlineStr">
        <is>
          <t>Income</t>
        </is>
      </c>
      <c r="I35" s="33" t="inlineStr">
        <is>
          <t>Other income · PF advance</t>
        </is>
      </c>
      <c r="J35" s="33" t="inlineStr">
        <is>
          <t>Provident fund</t>
        </is>
      </c>
      <c r="K35" s="33" t="inlineStr"/>
      <c r="L35" s="33" t="inlineStr">
        <is>
          <t>Recategorise if needed</t>
        </is>
      </c>
      <c r="M35" s="33" t="inlineStr"/>
      <c r="N35" s="56">
        <f>IF(OR(H35="CC Spend",H35="Bank Spend",H35="Regular",H35="EMI"),IF(E35="Debit",F35,-F35),0)</f>
        <v/>
      </c>
    </row>
    <row r="36">
      <c r="A36" s="66" t="inlineStr">
        <is>
          <t>L035</t>
        </is>
      </c>
      <c r="B36" s="73" t="n">
        <v>46324</v>
      </c>
      <c r="C36" s="33" t="inlineStr">
        <is>
          <t>Federal ••3268</t>
        </is>
      </c>
      <c r="D36" s="33" t="inlineStr">
        <is>
          <t>Bank</t>
        </is>
      </c>
      <c r="E36" s="33" t="inlineStr">
        <is>
          <t>Debit</t>
        </is>
      </c>
      <c r="F36" s="63" t="n">
        <v>135</v>
      </c>
      <c r="G36" s="33" t="inlineStr">
        <is>
          <t>Person payment</t>
        </is>
      </c>
      <c r="H36" s="33">
        <f>IF('People &amp; Lent'!H10="Lent","Lent",IF('People &amp; Lent'!H10="Undecided","Undecided","Bank Spend"))</f>
        <v/>
      </c>
      <c r="I36" s="33" t="inlineStr">
        <is>
          <t>Payment to person</t>
        </is>
      </c>
      <c r="J36" s="33" t="inlineStr">
        <is>
          <t>RAVI TEJA M</t>
        </is>
      </c>
      <c r="K36" s="33" t="inlineStr">
        <is>
          <t>U-6005</t>
        </is>
      </c>
      <c r="L36" s="33">
        <f>IF('People &amp; Lent'!H10="Undecided","Needs review","")</f>
        <v/>
      </c>
      <c r="M36" s="33" t="inlineStr"/>
      <c r="N36" s="56">
        <f>IF(OR(H36="CC Spend",H36="Bank Spend",H36="Regular",H36="EMI"),IF(E36="Debit",F36,-F36),0)</f>
        <v/>
      </c>
    </row>
    <row r="37">
      <c r="A37" s="66" t="inlineStr">
        <is>
          <t>L036</t>
        </is>
      </c>
      <c r="B37" s="73" t="n">
        <v>46325</v>
      </c>
      <c r="C37" s="33" t="inlineStr">
        <is>
          <t>Kotak ••2126</t>
        </is>
      </c>
      <c r="D37" s="33" t="inlineStr">
        <is>
          <t>Bank</t>
        </is>
      </c>
      <c r="E37" s="33" t="inlineStr">
        <is>
          <t>Debit</t>
        </is>
      </c>
      <c r="F37" s="63" t="n">
        <v>9261.34</v>
      </c>
      <c r="G37" s="33" t="inlineStr">
        <is>
          <t>Card bill</t>
        </is>
      </c>
      <c r="H37" s="33" t="inlineStr">
        <is>
          <t>Card bill</t>
        </is>
      </c>
      <c r="I37" s="33" t="inlineStr">
        <is>
          <t>CRED payment</t>
        </is>
      </c>
      <c r="J37" s="33" t="inlineStr">
        <is>
          <t>CRED</t>
        </is>
      </c>
      <c r="K37" s="33" t="inlineStr">
        <is>
          <t>U-4001</t>
        </is>
      </c>
      <c r="L37" s="33" t="inlineStr">
        <is>
          <t>Assigned to ICICI card</t>
        </is>
      </c>
      <c r="M37" s="33" t="inlineStr">
        <is>
          <t>ICICI CC ••9000</t>
        </is>
      </c>
      <c r="N37" s="56">
        <f>IF(OR(H37="CC Spend",H37="Bank Spend",H37="Regular",H37="EMI"),IF(E37="Debit",F37,-F37),0)</f>
        <v/>
      </c>
    </row>
    <row r="38">
      <c r="A38" s="66" t="inlineStr">
        <is>
          <t>L037</t>
        </is>
      </c>
      <c r="B38" s="73" t="n">
        <v>46325</v>
      </c>
      <c r="C38" s="33" t="inlineStr">
        <is>
          <t>CUB ••1756</t>
        </is>
      </c>
      <c r="D38" s="33" t="inlineStr">
        <is>
          <t>Bank</t>
        </is>
      </c>
      <c r="E38" s="33" t="inlineStr">
        <is>
          <t>Debit</t>
        </is>
      </c>
      <c r="F38" s="63" t="n">
        <v>2400</v>
      </c>
      <c r="G38" s="33" t="inlineStr">
        <is>
          <t>Transfer</t>
        </is>
      </c>
      <c r="H38" s="33" t="inlineStr">
        <is>
          <t>Transfer</t>
        </is>
      </c>
      <c r="I38" s="33" t="inlineStr">
        <is>
          <t>To own account</t>
        </is>
      </c>
      <c r="J38" s="33" t="inlineStr">
        <is>
          <t>Kotak ••2126</t>
        </is>
      </c>
      <c r="K38" s="33" t="inlineStr">
        <is>
          <t>U-1010</t>
        </is>
      </c>
      <c r="L38" s="33" t="inlineStr">
        <is>
          <t>Credit leg not seen</t>
        </is>
      </c>
      <c r="M38" s="33" t="inlineStr"/>
      <c r="N38" s="56">
        <f>IF(OR(H38="CC Spend",H38="Bank Spend",H38="Regular",H38="EMI"),IF(E38="Debit",F38,-F38),0)</f>
        <v/>
      </c>
    </row>
    <row r="39">
      <c r="A39" s="66" t="inlineStr">
        <is>
          <t>L038</t>
        </is>
      </c>
      <c r="B39" s="73" t="n">
        <v>46325</v>
      </c>
      <c r="C39" s="33" t="inlineStr">
        <is>
          <t>CUB ••1756</t>
        </is>
      </c>
      <c r="D39" s="33" t="inlineStr">
        <is>
          <t>Bank</t>
        </is>
      </c>
      <c r="E39" s="33" t="inlineStr">
        <is>
          <t>Credit</t>
        </is>
      </c>
      <c r="F39" s="63" t="n">
        <v>500</v>
      </c>
      <c r="G39" s="33" t="inlineStr">
        <is>
          <t>Other credit</t>
        </is>
      </c>
      <c r="H39" s="33" t="inlineStr">
        <is>
          <t>Unclassified credit</t>
        </is>
      </c>
      <c r="I39" s="33" t="inlineStr">
        <is>
          <t>Received from a/c ••0421</t>
        </is>
      </c>
      <c r="J39" s="33" t="inlineStr">
        <is>
          <t>••0421</t>
        </is>
      </c>
      <c r="K39" s="33" t="inlineStr">
        <is>
          <t>U-5001</t>
        </is>
      </c>
      <c r="L39" s="33" t="inlineStr">
        <is>
          <t>Needs review</t>
        </is>
      </c>
      <c r="M39" s="33" t="inlineStr"/>
      <c r="N39" s="56">
        <f>IF(OR(H39="CC Spend",H39="Bank Spend",H39="Regular",H39="EMI"),IF(E39="Debit",F39,-F39),0)</f>
        <v/>
      </c>
    </row>
    <row r="40">
      <c r="A40" s="66" t="inlineStr">
        <is>
          <t>L039</t>
        </is>
      </c>
      <c r="B40" s="73" t="n">
        <v>46325</v>
      </c>
      <c r="C40" s="33" t="inlineStr">
        <is>
          <t>Kotak ••2126</t>
        </is>
      </c>
      <c r="D40" s="33" t="inlineStr">
        <is>
          <t>Bank</t>
        </is>
      </c>
      <c r="E40" s="33" t="inlineStr">
        <is>
          <t>Debit</t>
        </is>
      </c>
      <c r="F40" s="63" t="n">
        <v>1500</v>
      </c>
      <c r="G40" s="33" t="inlineStr">
        <is>
          <t>Person payment</t>
        </is>
      </c>
      <c r="H40" s="33">
        <f>IF('People &amp; Lent'!H11="Lent","Lent",IF('People &amp; Lent'!H11="Undecided","Undecided","Bank Spend"))</f>
        <v/>
      </c>
      <c r="I40" s="33" t="inlineStr">
        <is>
          <t>Payment to person</t>
        </is>
      </c>
      <c r="J40" s="33" t="inlineStr">
        <is>
          <t>SURESH P</t>
        </is>
      </c>
      <c r="K40" s="33" t="inlineStr">
        <is>
          <t>U-6006</t>
        </is>
      </c>
      <c r="L40" s="33">
        <f>IF('People &amp; Lent'!H11="Undecided","Needs review","")</f>
        <v/>
      </c>
      <c r="M40" s="33" t="inlineStr"/>
      <c r="N40" s="56">
        <f>IF(OR(H40="CC Spend",H40="Bank Spend",H40="Regular",H40="EMI"),IF(E40="Debit",F40,-F40),0)</f>
        <v/>
      </c>
    </row>
    <row r="42">
      <c r="A42" s="58" t="inlineStr">
        <is>
          <t>Amounts in blue are the transactions (inputs). Block and Counts-as-spend are formulas; person payments take their block from the People &amp; Lent sheet.</t>
        </is>
      </c>
    </row>
  </sheetData>
  <autoFilter ref="A1:N4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B1:F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28" customWidth="1" min="4" max="4"/>
    <col width="16" customWidth="1" min="5" max="5"/>
    <col width="54" customWidth="1" min="6" max="6"/>
  </cols>
  <sheetData>
    <row r="1">
      <c r="B1" s="68" t="inlineStr">
        <is>
          <t>Needs your attention</t>
        </is>
      </c>
      <c r="C1" s="69" t="n"/>
      <c r="D1" s="69" t="n"/>
      <c r="E1" s="69" t="n"/>
      <c r="F1" s="69" t="n"/>
    </row>
    <row r="2">
      <c r="B2" s="69" t="n"/>
      <c r="C2" s="69" t="n"/>
      <c r="D2" s="69" t="n"/>
      <c r="E2" s="69" t="n"/>
      <c r="F2" s="69" t="n"/>
    </row>
    <row r="3">
      <c r="B3" s="48" t="inlineStr">
        <is>
          <t>Nothing here is hidden or counted as spending or income until you decide.</t>
        </is>
      </c>
    </row>
    <row r="5" ht="24" customHeight="1">
      <c r="B5" s="72" t="inlineStr">
        <is>
          <t>What</t>
        </is>
      </c>
      <c r="C5" s="72" t="inlineStr">
        <is>
          <t>Amount</t>
        </is>
      </c>
      <c r="D5" s="72" t="inlineStr">
        <is>
          <t>Detail</t>
        </is>
      </c>
      <c r="E5" s="72" t="inlineStr">
        <is>
          <t>Date</t>
        </is>
      </c>
      <c r="F5" s="72" t="inlineStr">
        <is>
          <t>Suggested action</t>
        </is>
      </c>
    </row>
    <row r="6">
      <c r="B6" s="30" t="inlineStr">
        <is>
          <t>Undecided people payment</t>
        </is>
      </c>
      <c r="C6" s="56">
        <f>Ledger!F33</f>
        <v/>
      </c>
      <c r="D6" s="33">
        <f>Ledger!J33&amp;" · "&amp;Ledger!C33</f>
        <v/>
      </c>
      <c r="E6" s="73">
        <f>Ledger!B33</f>
        <v/>
      </c>
      <c r="F6" s="66" t="inlineStr">
        <is>
          <t>Mark as Lent or Spend on the People &amp; Lent sheet</t>
        </is>
      </c>
    </row>
    <row r="7">
      <c r="B7" s="30" t="inlineStr">
        <is>
          <t>Transfer, other leg not seen</t>
        </is>
      </c>
      <c r="C7" s="56">
        <f>Ledger!F38</f>
        <v/>
      </c>
      <c r="D7" s="33">
        <f>Ledger!C38&amp;" to "&amp;Ledger!J38</f>
        <v/>
      </c>
      <c r="E7" s="73">
        <f>Ledger!B38</f>
        <v/>
      </c>
      <c r="F7" s="66" t="inlineStr">
        <is>
          <t>Wait for the credit SMS, or confirm the transfer manually</t>
        </is>
      </c>
    </row>
    <row r="8">
      <c r="B8" s="30" t="inlineStr">
        <is>
          <t>Unclassified credit</t>
        </is>
      </c>
      <c r="C8" s="56">
        <f>Ledger!F39</f>
        <v/>
      </c>
      <c r="D8" s="33">
        <f>Ledger!I39&amp;" · "&amp;Ledger!C39</f>
        <v/>
      </c>
      <c r="E8" s="73">
        <f>Ledger!B39</f>
        <v/>
      </c>
      <c r="F8" s="66" t="inlineStr">
        <is>
          <t>Tag as income, lent repayment, refund or own account</t>
        </is>
      </c>
    </row>
    <row r="9">
      <c r="B9" s="30" t="inlineStr">
        <is>
          <t>Unparsed SMS</t>
        </is>
      </c>
      <c r="C9" s="56" t="n"/>
      <c r="D9" s="33" t="inlineStr">
        <is>
          <t>2 messages from an unknown sender format</t>
        </is>
      </c>
      <c r="E9" s="73" t="n">
        <v>46325</v>
      </c>
      <c r="F9" s="66" t="inlineStr">
        <is>
          <t>Ignore messages like this, or add a template</t>
        </is>
      </c>
    </row>
    <row r="10">
      <c r="B10" s="30" t="inlineStr">
        <is>
          <t>Card payment awaiting confirmation</t>
        </is>
      </c>
      <c r="C10" s="56">
        <f>'Cards &amp; Dues'!G6</f>
        <v/>
      </c>
      <c r="D10" s="33" t="inlineStr">
        <is>
          <t>ICICI ••9000 · paid via CRED</t>
        </is>
      </c>
      <c r="E10" s="73" t="n">
        <v>46325</v>
      </c>
      <c r="F10" s="66" t="inlineStr">
        <is>
          <t>Clears when the issuer's payment-received SMS arrives</t>
        </is>
      </c>
    </row>
  </sheetData>
  <mergeCells count="1">
    <mergeCell ref="B1:F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B1:D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70" customWidth="1" min="4" max="4"/>
  </cols>
  <sheetData>
    <row r="1">
      <c r="B1" s="75" t="inlineStr">
        <is>
          <t>About this workbook</t>
        </is>
      </c>
      <c r="C1" s="76" t="n"/>
      <c r="D1" s="76" t="n"/>
    </row>
    <row r="2">
      <c r="B2" s="76" t="n"/>
      <c r="C2" s="76" t="n"/>
      <c r="D2" s="76" t="n"/>
    </row>
    <row r="4">
      <c r="B4" s="46" t="inlineStr">
        <is>
          <t>Report as-of date (input)</t>
        </is>
      </c>
      <c r="C4" s="78" t="n">
        <v>46325</v>
      </c>
      <c r="D4" s="48" t="inlineStr">
        <is>
          <t>Input. Everything recalculates from this date. The real app uses today in your time zone.</t>
        </is>
      </c>
    </row>
    <row r="5">
      <c r="B5" s="46" t="inlineStr">
        <is>
          <t>Period start</t>
        </is>
      </c>
      <c r="C5" s="79">
        <f>DATE(YEAR(C4),MONTH(C4),1)</f>
        <v/>
      </c>
      <c r="D5" s="48" t="inlineStr">
        <is>
          <t>Calendar month of the as-of date. Weekly and monthly reports use the same builder with another range.</t>
        </is>
      </c>
    </row>
    <row r="6">
      <c r="B6" s="46" t="inlineStr">
        <is>
          <t>Period end</t>
        </is>
      </c>
      <c r="C6" s="79">
        <f>EOMONTH(C4,0)</f>
        <v/>
      </c>
    </row>
    <row r="8" ht="30" customHeight="1">
      <c r="B8" s="80" t="inlineStr">
        <is>
          <t>SAMPLE DATA</t>
        </is>
      </c>
      <c r="C8" s="81" t="inlineStr">
        <is>
          <t>Every name, amount and reference here is fake. The real export is generated by the app from the ledger.</t>
        </is>
      </c>
    </row>
    <row r="9" ht="30" customHeight="1">
      <c r="B9" s="30" t="inlineStr">
        <is>
          <t>Total spent</t>
        </is>
      </c>
      <c r="C9" s="81" t="inlineStr">
        <is>
          <t>CC Spend + Bank Spend + Regular + EMI, net of refunds. Excludes transfers, card-bill payments, lent and undecided money.</t>
        </is>
      </c>
    </row>
    <row r="10" ht="30" customHeight="1">
      <c r="B10" s="30" t="inlineStr">
        <is>
          <t>Transfers</t>
        </is>
      </c>
      <c r="C10" s="81" t="inlineStr">
        <is>
          <t>Money moved between your own accounts. Counted once, never as income or spend. Both legs stay in the Ledger.</t>
        </is>
      </c>
    </row>
    <row r="11" ht="30" customHeight="1">
      <c r="B11" s="30" t="inlineStr">
        <is>
          <t>Card bill payments</t>
        </is>
      </c>
      <c r="C11" s="81" t="inlineStr">
        <is>
          <t>Paying a card from a bank (e.g. via CRED) settles a liability. The purchases were already counted when charged.</t>
        </is>
      </c>
    </row>
    <row r="12" ht="30" customHeight="1">
      <c r="B12" s="30" t="inlineStr">
        <is>
          <t>Lent / Undecided</t>
        </is>
      </c>
      <c r="C12" s="81" t="inlineStr">
        <is>
          <t>Payments to people. Under the threshold they default to Spend; at or above it they wait for your decision.</t>
        </is>
      </c>
    </row>
    <row r="13" ht="30" customHeight="1">
      <c r="B13" s="30" t="inlineStr">
        <is>
          <t>Colour meaning</t>
        </is>
      </c>
      <c r="C13" s="81" t="inlineStr">
        <is>
          <t>Red = payable soon or overdue. Amber = needs your decision. Green = settled or healthy. Teal = flow of money.</t>
        </is>
      </c>
    </row>
    <row r="14" ht="30" customHeight="1">
      <c r="B14" s="30" t="inlineStr">
        <is>
          <t>Blue text</t>
        </is>
      </c>
      <c r="C14" s="81" t="inlineStr">
        <is>
          <t>Inputs you can edit. Black text is a formula. Do not overwrite formulas.</t>
        </is>
      </c>
    </row>
    <row r="15" ht="30" customHeight="1">
      <c r="B15" s="30" t="inlineStr">
        <is>
          <t>Assumption</t>
        </is>
      </c>
      <c r="C15" s="81" t="inlineStr">
        <is>
          <t>Person-payment threshold of ₹1,000 is an app setting, shown here only as a note. Sample states were chosen by hand.</t>
        </is>
      </c>
    </row>
  </sheetData>
  <mergeCells count="9">
    <mergeCell ref="C12:D12"/>
    <mergeCell ref="C10:D10"/>
    <mergeCell ref="B1:D2"/>
    <mergeCell ref="C15:D15"/>
    <mergeCell ref="C11:D11"/>
    <mergeCell ref="C14:D14"/>
    <mergeCell ref="C13:D13"/>
    <mergeCell ref="C9:D9"/>
    <mergeCell ref="C8:D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2026-10-30T07:32:35Z</dcterms:created>
  <dcterms:modified xsi:type="dcterms:W3CDTF">2026-10-30T07:32:35Z</dcterms:modified>
</cp:coreProperties>
</file>